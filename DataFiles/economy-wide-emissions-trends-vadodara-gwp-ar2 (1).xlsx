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7E0DD7F4-2F40-49DA-A496-0E2B773628F2}" xr6:coauthVersionLast="47" xr6:coauthVersionMax="47" xr10:uidLastSave="{00000000-0000-0000-0000-000000000000}"/>
  <bookViews>
    <workbookView xWindow="-108" yWindow="-108" windowWidth="23256" windowHeight="12456" activeTab="3" xr2:uid="{00000000-000D-0000-FFFF-FFFF00000000}"/>
  </bookViews>
  <sheets>
    <sheet name="temperature graph" sheetId="7" r:id="rId1"/>
    <sheet name="temperature" sheetId="2" r:id="rId2"/>
    <sheet name="Sheet4" sheetId="4" r:id="rId3"/>
    <sheet name="sectorcontributing" sheetId="5" r:id="rId4"/>
    <sheet name="forecasting" sheetId="8" r:id="rId5"/>
    <sheet name="graph from2210-2023" sheetId="3" r:id="rId6"/>
  </sheets>
  <calcPr calcId="191029"/>
  <pivotCaches>
    <pivotCache cacheId="0" r:id="rId7"/>
    <pivotCache cacheId="1" r:id="rId8"/>
    <pivotCache cacheId="2"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6" i="8" l="1"/>
  <c r="B17" i="8"/>
  <c r="B16" i="8"/>
  <c r="B15" i="8"/>
  <c r="E11" i="8"/>
  <c r="C3" i="8"/>
  <c r="C4" i="8"/>
  <c r="C5" i="8"/>
  <c r="C6" i="8"/>
  <c r="C7" i="8"/>
  <c r="C8" i="8"/>
  <c r="C9" i="8"/>
  <c r="C10" i="8"/>
  <c r="C11" i="8"/>
  <c r="C12" i="8"/>
  <c r="C13" i="8"/>
  <c r="C14" i="8"/>
  <c r="C2" i="8"/>
  <c r="D4" i="2"/>
  <c r="D5" i="2"/>
  <c r="D6" i="2"/>
  <c r="D7" i="2"/>
  <c r="D8" i="2"/>
  <c r="D9" i="2"/>
  <c r="D10" i="2"/>
  <c r="D11" i="2"/>
  <c r="D12" i="2"/>
  <c r="D13" i="2"/>
  <c r="D14" i="2"/>
  <c r="D15" i="2"/>
  <c r="D16" i="2"/>
  <c r="D17" i="2"/>
  <c r="D18" i="2"/>
  <c r="D3" i="2"/>
  <c r="O14" i="5"/>
  <c r="F16" i="5"/>
  <c r="D16" i="5"/>
  <c r="C16" i="5"/>
  <c r="B16" i="5"/>
</calcChain>
</file>

<file path=xl/sharedStrings.xml><?xml version="1.0" encoding="utf-8"?>
<sst xmlns="http://schemas.openxmlformats.org/spreadsheetml/2006/main" count="85" uniqueCount="75">
  <si>
    <t>Year</t>
  </si>
  <si>
    <t>Agriculture (kilo tonne CO₂e)</t>
  </si>
  <si>
    <t>Energy (kilo tonne CO₂e)</t>
  </si>
  <si>
    <t>Waste (kilo tonne CO₂e)</t>
  </si>
  <si>
    <t>Row Labels</t>
  </si>
  <si>
    <t>Grand Total</t>
  </si>
  <si>
    <t>Sum of Agriculture (kilo tonne CO₂e)</t>
  </si>
  <si>
    <t>Sum of Energy (kilo tonne CO₂e)</t>
  </si>
  <si>
    <t>Sum of Waste (kilo tonne CO₂e)</t>
  </si>
  <si>
    <t>energy emission is more</t>
  </si>
  <si>
    <t>1)</t>
  </si>
  <si>
    <t>agriculture</t>
  </si>
  <si>
    <t>energy</t>
  </si>
  <si>
    <t>waste</t>
  </si>
  <si>
    <t>FINAL DECISION RULE:</t>
  </si>
  <si>
    <t>Energy (&gt;50%) → Dominant source</t>
  </si>
  <si>
    <t>Agriculture (5–15%) → Secondary source</t>
  </si>
  <si>
    <t>Waste (&lt;5%) → Minor but persistent source</t>
  </si>
  <si>
    <t>(percentage form)</t>
  </si>
  <si>
    <t>Sector-wise Total Emission (2010–2023)</t>
  </si>
  <si>
    <t>agricultue</t>
  </si>
  <si>
    <t>Percentage Contribution</t>
  </si>
  <si>
    <t>Step 3: Trend-wise Interpretation (2010–2023)</t>
  </si>
  <si>
    <r>
      <t xml:space="preserve">2010: </t>
    </r>
    <r>
      <rPr>
        <b/>
        <sz val="11"/>
        <color theme="1"/>
        <rFont val="Calibri"/>
        <family val="2"/>
        <scheme val="minor"/>
      </rPr>
      <t>1125.27</t>
    </r>
  </si>
  <si>
    <r>
      <t xml:space="preserve">2023: </t>
    </r>
    <r>
      <rPr>
        <b/>
        <sz val="11"/>
        <color theme="1"/>
        <rFont val="Calibri"/>
        <family val="2"/>
        <scheme val="minor"/>
      </rPr>
      <t>338.89</t>
    </r>
  </si>
  <si>
    <r>
      <t xml:space="preserve"> </t>
    </r>
    <r>
      <rPr>
        <b/>
        <sz val="11"/>
        <color theme="1"/>
        <rFont val="Calibri"/>
        <family val="2"/>
        <scheme val="minor"/>
      </rPr>
      <t>Sharp declining trend (~70% reduction</t>
    </r>
  </si>
  <si>
    <t xml:space="preserve"> Agriculture</t>
  </si>
  <si>
    <t>Energy</t>
  </si>
  <si>
    <r>
      <t xml:space="preserve">2010: </t>
    </r>
    <r>
      <rPr>
        <b/>
        <sz val="11"/>
        <color theme="1"/>
        <rFont val="Calibri"/>
        <family val="2"/>
        <scheme val="minor"/>
      </rPr>
      <t>5625.93</t>
    </r>
  </si>
  <si>
    <r>
      <t xml:space="preserve">2023: </t>
    </r>
    <r>
      <rPr>
        <b/>
        <sz val="11"/>
        <color theme="1"/>
        <rFont val="Calibri"/>
        <family val="2"/>
        <scheme val="minor"/>
      </rPr>
      <t>6960.75</t>
    </r>
  </si>
  <si>
    <t>Waste</t>
  </si>
  <si>
    <r>
      <t xml:space="preserve">Range: </t>
    </r>
    <r>
      <rPr>
        <b/>
        <sz val="11"/>
        <color theme="1"/>
        <rFont val="Calibri"/>
        <family val="2"/>
        <scheme val="minor"/>
      </rPr>
      <t>~189 to 270</t>
    </r>
  </si>
  <si>
    <r>
      <t xml:space="preserve"> </t>
    </r>
    <r>
      <rPr>
        <b/>
        <sz val="11"/>
        <color theme="1"/>
        <rFont val="Calibri"/>
        <family val="2"/>
        <scheme val="minor"/>
      </rPr>
      <t>Relatively stable but non-negligible</t>
    </r>
  </si>
  <si>
    <r>
      <t xml:space="preserve"> </t>
    </r>
    <r>
      <rPr>
        <b/>
        <sz val="11"/>
        <color theme="1"/>
        <rFont val="Calibri"/>
        <family val="2"/>
        <scheme val="minor"/>
      </rPr>
      <t>Strong increasing trend</t>
    </r>
  </si>
  <si>
    <t>Energy &gt; Agriculture &gt; Waste</t>
  </si>
  <si>
    <t xml:space="preserve">Ranking of Emission Sources </t>
  </si>
  <si>
    <r>
      <t xml:space="preserve"> </t>
    </r>
    <r>
      <rPr>
        <b/>
        <sz val="11"/>
        <color theme="1"/>
        <rFont val="Calibri"/>
        <family val="2"/>
        <scheme val="minor"/>
      </rPr>
      <t>Energy sector is the major contributor to carbon emissions in Vadodara city.</t>
    </r>
  </si>
  <si>
    <t>2)</t>
  </si>
  <si>
    <t>3)</t>
  </si>
  <si>
    <t>“Trend nikalne se hume direction pata chalta hai — agriculture ka trend down hai matlab waha focus kam ho sakta hai, energy ka trend up hai matlab wahi main problem hai.”</t>
  </si>
  <si>
    <t xml:space="preserve"> total emission se hume pata chalta hai ki 2010 se 2023 tak kis sector ne overall environment par sabse zyada load dala hai.”</t>
  </si>
  <si>
    <t xml:space="preserve"> percentage contribution se hume relative comparison milta hai, jisse pata chalta hai ki total emission me energy sector ka share almost poore emission ke barabar hai.”</t>
  </si>
  <si>
    <t>( agar 100 unit pollution ho, to usme se lagbhag 87 unit energy sector se aa rahi hai.”)</t>
  </si>
  <si>
    <r>
      <t xml:space="preserve">Trend batata hai </t>
    </r>
    <r>
      <rPr>
        <b/>
        <sz val="11"/>
        <color theme="1"/>
        <rFont val="Calibri"/>
        <family val="2"/>
        <scheme val="minor"/>
      </rPr>
      <t>future me problem kaun sa sector banega</t>
    </r>
  </si>
  <si>
    <r>
      <t xml:space="preserve">Level current situation batata hai, trend </t>
    </r>
    <r>
      <rPr>
        <b/>
        <sz val="11"/>
        <color theme="1"/>
        <rFont val="Calibri"/>
        <family val="2"/>
        <scheme val="minor"/>
      </rPr>
      <t>direction</t>
    </r>
    <r>
      <rPr>
        <sz val="11"/>
        <color theme="1"/>
        <rFont val="Calibri"/>
        <family val="2"/>
        <scheme val="minor"/>
      </rPr>
      <t xml:space="preserve"> batata ha</t>
    </r>
  </si>
  <si>
    <t>Total pollution me kis sector ka kitna share hai</t>
  </si>
  <si>
    <t>, total emission hume historical impact batata hai, percentage contribution relative importance dikhata hai, aur trend analysis future climate risk identify karta hai. Teeno milkar hi effective mitigation aur awareness strategy design ho sakti hai.”</t>
  </si>
  <si>
    <t>Years</t>
  </si>
  <si>
    <t>Temperature(°C)</t>
  </si>
  <si>
    <t>Highest</t>
  </si>
  <si>
    <t>Lowest</t>
  </si>
  <si>
    <t xml:space="preserve">dtr </t>
  </si>
  <si>
    <t xml:space="preserve">Sum of dtr </t>
  </si>
  <si>
    <t>Sum of Highest</t>
  </si>
  <si>
    <t>Sum of Lowest</t>
  </si>
  <si>
    <t>Maximum temperature</t>
  </si>
  <si>
    <t xml:space="preserve"> maximum temperature me thoda fluctuation hai, lekin overall trend slightly increasing hai, aur 2020 ke baad extreme heat years zyada frequent ho rahe hain.”</t>
  </si>
  <si>
    <r>
      <t xml:space="preserve"> </t>
    </r>
    <r>
      <rPr>
        <i/>
        <sz val="11"/>
        <color theme="1"/>
        <rFont val="Calibri"/>
        <family val="2"/>
        <scheme val="minor"/>
      </rPr>
      <t>Din ki garmi badh rahi hai</t>
    </r>
  </si>
  <si>
    <t xml:space="preserve"> minimum temperature ka trend zyada consistent aur upward hai, matlab raat ka temperature pehle se zyada fast badh raha hai.”</t>
  </si>
  <si>
    <r>
      <t xml:space="preserve"> </t>
    </r>
    <r>
      <rPr>
        <i/>
        <sz val="11"/>
        <color theme="1"/>
        <rFont val="Calibri"/>
        <family val="2"/>
        <scheme val="minor"/>
      </rPr>
      <t>Raaten pehle jitni thandi nahi ho rahi</t>
    </r>
  </si>
  <si>
    <t xml:space="preserve"> Minimum temperature </t>
  </si>
  <si>
    <t>agar hum dono lines ke beech ka gap dekhein, to recent years me ye gap thoda kam ho raha hai, jo reduced night-time cooling aur asymmetric warming ka indication deta hai</t>
  </si>
  <si>
    <t>ye graph dikhata hai ki warming uniform nahi hai. Minimum temperature zyada fast badh raha hai as compared to maximum temperature, isliye diurnal temperature range dheere-dheere compress ho raha hai, jo climate change ka strong local indicator hai.”</t>
  </si>
  <si>
    <t>DTR din aur raat ke temperature ka difference hota hai. Is graph me DTR fluctuate karta hai, lekin recent years me thoda decline aur stability dikh rahi hai.”</t>
  </si>
  <si>
    <t>“Iska matlab hai ki nights zyada warm ho rahi hain aur night-time cooling kam ho rahi hai.”</t>
  </si>
  <si>
    <r>
      <t xml:space="preserve">Ye </t>
    </r>
    <r>
      <rPr>
        <b/>
        <sz val="11"/>
        <color theme="1"/>
        <rFont val="Calibri"/>
        <family val="2"/>
        <scheme val="minor"/>
      </rPr>
      <t>climate change ka strong signal</t>
    </r>
    <r>
      <rPr>
        <sz val="11"/>
        <color theme="1"/>
        <rFont val="Calibri"/>
        <family val="2"/>
        <scheme val="minor"/>
      </rPr>
      <t xml:space="preserve"> hai.</t>
    </r>
  </si>
  <si>
    <t>Public Awareness &amp; Behavioural Intentions</t>
  </si>
  <si>
    <t xml:space="preserve"> Project Logic </t>
  </si>
  <si>
    <t>, jab nights bhi warm ho jaati hain, to log AC, cooler aur fan zyada use karte hain, jisse energy consumption badhta hai.”</t>
  </si>
  <si>
    <t xml:space="preserve"> Energy emission ↑</t>
  </si>
  <si>
    <t xml:space="preserve"> Climate change ↑</t>
  </si>
  <si>
    <t xml:space="preserve"> project:</t>
  </si>
  <si>
    <t>dtr(diurnal temperature range)</t>
  </si>
  <si>
    <t>yearly change</t>
  </si>
  <si>
    <t>average yearly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</si>
</sst>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3.5"/>
      <color theme="1"/>
      <name val="Calibri"/>
      <family val="2"/>
      <scheme val="minor"/>
    </font>
    <font>
      <b/>
      <sz val="18"/>
      <color theme="1"/>
      <name val="Calibri"/>
      <family val="2"/>
      <scheme val="minor"/>
    </font>
    <font>
      <b/>
      <sz val="14"/>
      <color theme="1"/>
      <name val="Calibri"/>
      <family val="2"/>
      <scheme val="minor"/>
    </font>
    <font>
      <sz val="14"/>
      <color theme="1"/>
      <name val="Calibri"/>
      <family val="2"/>
      <scheme val="minor"/>
    </font>
    <font>
      <i/>
      <sz val="11"/>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0000"/>
        <bgColor indexed="64"/>
      </patternFill>
    </fill>
    <fill>
      <patternFill patternType="solid">
        <fgColor rgb="FF00B0F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0" xfId="0" pivotButton="1"/>
    <xf numFmtId="0" fontId="0" fillId="0" borderId="0" xfId="0" applyAlignment="1">
      <alignment horizontal="left"/>
    </xf>
    <xf numFmtId="0" fontId="0" fillId="33" borderId="0" xfId="0" applyFill="1"/>
    <xf numFmtId="0" fontId="18" fillId="0" borderId="0" xfId="0" applyFont="1" applyAlignment="1">
      <alignment vertical="center"/>
    </xf>
    <xf numFmtId="0" fontId="0" fillId="0" borderId="0" xfId="0" applyAlignment="1">
      <alignment horizontal="left" vertical="center" indent="1"/>
    </xf>
    <xf numFmtId="0" fontId="16" fillId="0" borderId="0" xfId="0" applyFont="1" applyAlignment="1">
      <alignment horizontal="left" vertical="center" indent="1"/>
    </xf>
    <xf numFmtId="0" fontId="16" fillId="0" borderId="0" xfId="0" applyFont="1"/>
    <xf numFmtId="0" fontId="16" fillId="33" borderId="0" xfId="0" applyFont="1" applyFill="1"/>
    <xf numFmtId="0" fontId="16" fillId="34" borderId="0" xfId="0" applyFont="1" applyFill="1"/>
    <xf numFmtId="0" fontId="19" fillId="0" borderId="0" xfId="0" applyFont="1" applyAlignment="1">
      <alignment vertical="center"/>
    </xf>
    <xf numFmtId="0" fontId="16" fillId="35" borderId="0" xfId="0" applyFont="1" applyFill="1" applyAlignment="1">
      <alignment vertical="center"/>
    </xf>
    <xf numFmtId="0" fontId="0" fillId="35" borderId="0" xfId="0" applyFill="1"/>
    <xf numFmtId="0" fontId="20" fillId="0" borderId="0" xfId="0" applyFont="1" applyAlignment="1">
      <alignment vertical="center"/>
    </xf>
    <xf numFmtId="0" fontId="21" fillId="0" borderId="0" xfId="0" applyFont="1"/>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[economy-wide-emissions-trends-vadodara-gwp-ar2 (1).xlsx]temperature graph!PivotTable7</c:name>
    <c:fmtId val="0"/>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'temperature graph'!$B$3</c:f>
              <c:strCache>
                <c:ptCount val="1"/>
                <c:pt idx="0">
                  <c:v>Sum of Highest</c:v>
                </c:pt>
              </c:strCache>
            </c:strRef>
          </c:tx>
          <c:spPr>
            <a:ln w="28575" cap="rnd">
              <a:solidFill>
                <a:schemeClr val="accent1"/>
              </a:solidFill>
              <a:round/>
            </a:ln>
            <a:effectLst/>
          </c:spPr>
          <c:marker>
            <c:symbol val="none"/>
          </c:marker>
          <c:cat>
            <c:strRef>
              <c:f>'temperature graph'!$A$4:$A$20</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'temperature graph'!$B$4:$B$20</c:f>
              <c:numCache>
                <c:formatCode>General</c:formatCode>
                <c:ptCount val="16"/>
                <c:pt idx="0">
                  <c:v>40.9</c:v>
                </c:pt>
                <c:pt idx="1">
                  <c:v>40.299999999999997</c:v>
                </c:pt>
                <c:pt idx="2">
                  <c:v>39.1</c:v>
                </c:pt>
                <c:pt idx="3">
                  <c:v>40.1</c:v>
                </c:pt>
                <c:pt idx="4">
                  <c:v>40.5</c:v>
                </c:pt>
                <c:pt idx="5">
                  <c:v>41.1</c:v>
                </c:pt>
                <c:pt idx="6">
                  <c:v>40.200000000000003</c:v>
                </c:pt>
                <c:pt idx="7">
                  <c:v>40.9</c:v>
                </c:pt>
                <c:pt idx="8">
                  <c:v>41.5</c:v>
                </c:pt>
                <c:pt idx="9">
                  <c:v>40.5</c:v>
                </c:pt>
                <c:pt idx="10">
                  <c:v>42.05</c:v>
                </c:pt>
                <c:pt idx="11">
                  <c:v>40.090000000000003</c:v>
                </c:pt>
                <c:pt idx="12">
                  <c:v>42.5</c:v>
                </c:pt>
                <c:pt idx="13">
                  <c:v>40.9</c:v>
                </c:pt>
                <c:pt idx="14">
                  <c:v>41.7</c:v>
                </c:pt>
                <c:pt idx="15">
                  <c:v>41.9</c:v>
                </c:pt>
              </c:numCache>
            </c:numRef>
          </c:val>
          <c:smooth val="0"/>
          <c:extLst>
            <c:ext xmlns:c16="http://schemas.microsoft.com/office/drawing/2014/chart" uri="{C3380CC4-5D6E-409C-BE32-E72D297353CC}">
              <c16:uniqueId val="{00000000-3FB4-43F9-B05D-F2B81F4E8382}"/>
            </c:ext>
          </c:extLst>
        </c:ser>
        <c:ser>
          <c:idx val="1"/>
          <c:order val="1"/>
          <c:tx>
            <c:strRef>
              <c:f>'temperature graph'!$C$3</c:f>
              <c:strCache>
                <c:ptCount val="1"/>
                <c:pt idx="0">
                  <c:v>Sum of Lowest</c:v>
                </c:pt>
              </c:strCache>
            </c:strRef>
          </c:tx>
          <c:spPr>
            <a:ln w="28575" cap="rnd">
              <a:solidFill>
                <a:schemeClr val="accent2"/>
              </a:solidFill>
              <a:round/>
            </a:ln>
            <a:effectLst/>
          </c:spPr>
          <c:marker>
            <c:symbol val="none"/>
          </c:marker>
          <c:cat>
            <c:strRef>
              <c:f>'temperature graph'!$A$4:$A$20</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'temperature graph'!$C$4:$C$20</c:f>
              <c:numCache>
                <c:formatCode>General</c:formatCode>
                <c:ptCount val="16"/>
                <c:pt idx="0">
                  <c:v>17.3</c:v>
                </c:pt>
                <c:pt idx="1">
                  <c:v>14.5</c:v>
                </c:pt>
                <c:pt idx="2">
                  <c:v>14.8</c:v>
                </c:pt>
                <c:pt idx="3">
                  <c:v>15.8</c:v>
                </c:pt>
                <c:pt idx="4">
                  <c:v>16.100000000000001</c:v>
                </c:pt>
                <c:pt idx="5">
                  <c:v>16.2</c:v>
                </c:pt>
                <c:pt idx="6">
                  <c:v>17.2</c:v>
                </c:pt>
                <c:pt idx="7">
                  <c:v>16.5</c:v>
                </c:pt>
                <c:pt idx="8">
                  <c:v>17.2</c:v>
                </c:pt>
                <c:pt idx="9">
                  <c:v>15.1</c:v>
                </c:pt>
                <c:pt idx="10">
                  <c:v>15.7</c:v>
                </c:pt>
                <c:pt idx="11">
                  <c:v>17.059999999999999</c:v>
                </c:pt>
                <c:pt idx="12">
                  <c:v>15.2</c:v>
                </c:pt>
                <c:pt idx="13">
                  <c:v>15.3</c:v>
                </c:pt>
                <c:pt idx="14">
                  <c:v>17.09</c:v>
                </c:pt>
                <c:pt idx="15">
                  <c:v>17.899999999999999</c:v>
                </c:pt>
              </c:numCache>
            </c:numRef>
          </c:val>
          <c:smooth val="0"/>
          <c:extLst>
            <c:ext xmlns:c16="http://schemas.microsoft.com/office/drawing/2014/chart" uri="{C3380CC4-5D6E-409C-BE32-E72D297353CC}">
              <c16:uniqueId val="{00000003-3FB4-43F9-B05D-F2B81F4E8382}"/>
            </c:ext>
          </c:extLst>
        </c:ser>
        <c:ser>
          <c:idx val="2"/>
          <c:order val="2"/>
          <c:tx>
            <c:strRef>
              <c:f>'temperature graph'!$D$3</c:f>
              <c:strCache>
                <c:ptCount val="1"/>
                <c:pt idx="0">
                  <c:v>Sum of dtr </c:v>
                </c:pt>
              </c:strCache>
            </c:strRef>
          </c:tx>
          <c:spPr>
            <a:ln w="28575" cap="rnd">
              <a:solidFill>
                <a:schemeClr val="accent3"/>
              </a:solidFill>
              <a:round/>
            </a:ln>
            <a:effectLst/>
          </c:spPr>
          <c:marker>
            <c:symbol val="none"/>
          </c:marker>
          <c:cat>
            <c:strRef>
              <c:f>'temperature graph'!$A$4:$A$20</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'temperature graph'!$D$4:$D$20</c:f>
              <c:numCache>
                <c:formatCode>General</c:formatCode>
                <c:ptCount val="16"/>
                <c:pt idx="0">
                  <c:v>23.599999999999998</c:v>
                </c:pt>
                <c:pt idx="1">
                  <c:v>25.799999999999997</c:v>
                </c:pt>
                <c:pt idx="2">
                  <c:v>24.3</c:v>
                </c:pt>
                <c:pt idx="3">
                  <c:v>24.3</c:v>
                </c:pt>
                <c:pt idx="4">
                  <c:v>24.4</c:v>
                </c:pt>
                <c:pt idx="5">
                  <c:v>24.900000000000002</c:v>
                </c:pt>
                <c:pt idx="6">
                  <c:v>23.000000000000004</c:v>
                </c:pt>
                <c:pt idx="7">
                  <c:v>24.4</c:v>
                </c:pt>
                <c:pt idx="8">
                  <c:v>24.3</c:v>
                </c:pt>
                <c:pt idx="9">
                  <c:v>25.4</c:v>
                </c:pt>
                <c:pt idx="10">
                  <c:v>26.349999999999998</c:v>
                </c:pt>
                <c:pt idx="11">
                  <c:v>23.030000000000005</c:v>
                </c:pt>
                <c:pt idx="12">
                  <c:v>27.3</c:v>
                </c:pt>
                <c:pt idx="13">
                  <c:v>25.599999999999998</c:v>
                </c:pt>
                <c:pt idx="14">
                  <c:v>24.610000000000003</c:v>
                </c:pt>
                <c:pt idx="15">
                  <c:v>24</c:v>
                </c:pt>
              </c:numCache>
            </c:numRef>
          </c:val>
          <c:smooth val="0"/>
          <c:extLst>
            <c:ext xmlns:c16="http://schemas.microsoft.com/office/drawing/2014/chart" uri="{C3380CC4-5D6E-409C-BE32-E72D297353CC}">
              <c16:uniqueId val="{00000004-3FB4-43F9-B05D-F2B81F4E8382}"/>
            </c:ext>
          </c:extLst>
        </c:ser>
        <c:dLbls>
          <c:showLegendKey val="0"/>
          <c:showVal val="0"/>
          <c:showCatName val="0"/>
          <c:showSerName val="0"/>
          <c:showPercent val="0"/>
          <c:showBubbleSize val="0"/>
        </c:dLbls>
        <c:smooth val="0"/>
        <c:axId val="1042393776"/>
        <c:axId val="1042394736"/>
      </c:lineChart>
      <c:catAx>
        <c:axId val="104239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394736"/>
        <c:crosses val="autoZero"/>
        <c:auto val="1"/>
        <c:lblAlgn val="ctr"/>
        <c:lblOffset val="100"/>
        <c:noMultiLvlLbl val="0"/>
      </c:catAx>
      <c:valAx>
        <c:axId val="1042394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39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[economy-wide-emissions-trends-vadodara-gwp-ar2 (1).xlsx]Sheet4!PivotTable4</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Sum of Agriculture (kilo tonne CO₂e)</c:v>
                </c:pt>
              </c:strCache>
            </c:strRef>
          </c:tx>
          <c:spPr>
            <a:ln w="28575" cap="rnd">
              <a:solidFill>
                <a:schemeClr val="accent1"/>
              </a:solidFill>
              <a:round/>
            </a:ln>
            <a:effectLst/>
          </c:spPr>
          <c:marker>
            <c:symbol val="none"/>
          </c:marker>
          <c:cat>
            <c:strRef>
              <c:f>Sheet4!$A$4:$A$25</c:f>
              <c:strCach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strCache>
            </c:strRef>
          </c:cat>
          <c:val>
            <c:numRef>
              <c:f>Sheet4!$B$4:$B$25</c:f>
              <c:numCache>
                <c:formatCode>General</c:formatCode>
                <c:ptCount val="21"/>
                <c:pt idx="0">
                  <c:v>1125.27</c:v>
                </c:pt>
                <c:pt idx="1">
                  <c:v>1147.3499999999999</c:v>
                </c:pt>
                <c:pt idx="2">
                  <c:v>1174.1099999999999</c:v>
                </c:pt>
                <c:pt idx="3">
                  <c:v>730.82</c:v>
                </c:pt>
                <c:pt idx="4">
                  <c:v>670.03</c:v>
                </c:pt>
                <c:pt idx="5">
                  <c:v>606.6</c:v>
                </c:pt>
                <c:pt idx="6">
                  <c:v>538.32000000000005</c:v>
                </c:pt>
                <c:pt idx="7">
                  <c:v>470.55</c:v>
                </c:pt>
                <c:pt idx="8">
                  <c:v>441.46</c:v>
                </c:pt>
                <c:pt idx="9">
                  <c:v>417.23</c:v>
                </c:pt>
                <c:pt idx="10">
                  <c:v>401.65</c:v>
                </c:pt>
                <c:pt idx="11">
                  <c:v>371.27</c:v>
                </c:pt>
                <c:pt idx="12">
                  <c:v>350.48</c:v>
                </c:pt>
                <c:pt idx="13">
                  <c:v>338.89</c:v>
                </c:pt>
                <c:pt idx="14">
                  <c:v>127.23098901100457</c:v>
                </c:pt>
                <c:pt idx="15">
                  <c:v>60.537692307698308</c:v>
                </c:pt>
                <c:pt idx="16">
                  <c:v>-6.1556043955788482</c:v>
                </c:pt>
                <c:pt idx="17">
                  <c:v>-72.848901098885108</c:v>
                </c:pt>
                <c:pt idx="18">
                  <c:v>-139.54219780219137</c:v>
                </c:pt>
                <c:pt idx="19">
                  <c:v>-206.23549450546852</c:v>
                </c:pt>
                <c:pt idx="20">
                  <c:v>-272.92879120877478</c:v>
                </c:pt>
              </c:numCache>
            </c:numRef>
          </c:val>
          <c:smooth val="0"/>
          <c:extLst>
            <c:ext xmlns:c16="http://schemas.microsoft.com/office/drawing/2014/chart" uri="{C3380CC4-5D6E-409C-BE32-E72D297353CC}">
              <c16:uniqueId val="{00000000-A197-499A-B9BF-0DB635C81420}"/>
            </c:ext>
          </c:extLst>
        </c:ser>
        <c:ser>
          <c:idx val="1"/>
          <c:order val="1"/>
          <c:tx>
            <c:strRef>
              <c:f>Sheet4!$C$3</c:f>
              <c:strCache>
                <c:ptCount val="1"/>
                <c:pt idx="0">
                  <c:v>Sum of Energy (kilo tonne CO₂e)</c:v>
                </c:pt>
              </c:strCache>
            </c:strRef>
          </c:tx>
          <c:spPr>
            <a:ln w="28575" cap="rnd">
              <a:solidFill>
                <a:schemeClr val="accent2"/>
              </a:solidFill>
              <a:round/>
            </a:ln>
            <a:effectLst/>
          </c:spPr>
          <c:marker>
            <c:symbol val="none"/>
          </c:marker>
          <c:cat>
            <c:strRef>
              <c:f>Sheet4!$A$4:$A$25</c:f>
              <c:strCach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strCache>
            </c:strRef>
          </c:cat>
          <c:val>
            <c:numRef>
              <c:f>Sheet4!$C$4:$C$25</c:f>
              <c:numCache>
                <c:formatCode>General</c:formatCode>
                <c:ptCount val="21"/>
                <c:pt idx="0">
                  <c:v>5625.93</c:v>
                </c:pt>
                <c:pt idx="1">
                  <c:v>5138.58</c:v>
                </c:pt>
                <c:pt idx="2">
                  <c:v>5377.75</c:v>
                </c:pt>
                <c:pt idx="3">
                  <c:v>5584.56</c:v>
                </c:pt>
                <c:pt idx="4">
                  <c:v>5583.6</c:v>
                </c:pt>
                <c:pt idx="5">
                  <c:v>6122.69</c:v>
                </c:pt>
                <c:pt idx="6">
                  <c:v>6515.77</c:v>
                </c:pt>
                <c:pt idx="7">
                  <c:v>6733.86</c:v>
                </c:pt>
                <c:pt idx="8">
                  <c:v>6170.43</c:v>
                </c:pt>
                <c:pt idx="9">
                  <c:v>6158.99</c:v>
                </c:pt>
                <c:pt idx="10">
                  <c:v>6081.78</c:v>
                </c:pt>
                <c:pt idx="11">
                  <c:v>6205.7</c:v>
                </c:pt>
                <c:pt idx="12">
                  <c:v>6283.55</c:v>
                </c:pt>
                <c:pt idx="13">
                  <c:v>6960.75</c:v>
                </c:pt>
                <c:pt idx="14">
                  <c:v>6766.0673626373755</c:v>
                </c:pt>
                <c:pt idx="15">
                  <c:v>6863.0292967033165</c:v>
                </c:pt>
                <c:pt idx="16">
                  <c:v>6959.9912307692284</c:v>
                </c:pt>
                <c:pt idx="17">
                  <c:v>7056.9531648351694</c:v>
                </c:pt>
                <c:pt idx="18">
                  <c:v>7153.9150989011105</c:v>
                </c:pt>
                <c:pt idx="19">
                  <c:v>7250.8770329670515</c:v>
                </c:pt>
                <c:pt idx="20">
                  <c:v>7347.8389670329634</c:v>
                </c:pt>
              </c:numCache>
            </c:numRef>
          </c:val>
          <c:smooth val="0"/>
          <c:extLst>
            <c:ext xmlns:c16="http://schemas.microsoft.com/office/drawing/2014/chart" uri="{C3380CC4-5D6E-409C-BE32-E72D297353CC}">
              <c16:uniqueId val="{00000001-A197-499A-B9BF-0DB635C81420}"/>
            </c:ext>
          </c:extLst>
        </c:ser>
        <c:ser>
          <c:idx val="2"/>
          <c:order val="2"/>
          <c:tx>
            <c:strRef>
              <c:f>Sheet4!$D$3</c:f>
              <c:strCache>
                <c:ptCount val="1"/>
                <c:pt idx="0">
                  <c:v>Sum of Waste (kilo tonne CO₂e)</c:v>
                </c:pt>
              </c:strCache>
            </c:strRef>
          </c:tx>
          <c:spPr>
            <a:ln w="28575" cap="rnd">
              <a:solidFill>
                <a:schemeClr val="accent3"/>
              </a:solidFill>
              <a:round/>
            </a:ln>
            <a:effectLst/>
          </c:spPr>
          <c:marker>
            <c:symbol val="none"/>
          </c:marker>
          <c:cat>
            <c:strRef>
              <c:f>Sheet4!$A$4:$A$25</c:f>
              <c:strCache>
                <c:ptCount val="21"/>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pt idx="17">
                  <c:v>2027</c:v>
                </c:pt>
                <c:pt idx="18">
                  <c:v>2028</c:v>
                </c:pt>
                <c:pt idx="19">
                  <c:v>2029</c:v>
                </c:pt>
                <c:pt idx="20">
                  <c:v>2030</c:v>
                </c:pt>
              </c:strCache>
            </c:strRef>
          </c:cat>
          <c:val>
            <c:numRef>
              <c:f>Sheet4!$D$4:$D$25</c:f>
              <c:numCache>
                <c:formatCode>General</c:formatCode>
                <c:ptCount val="21"/>
                <c:pt idx="0">
                  <c:v>189.28</c:v>
                </c:pt>
                <c:pt idx="1">
                  <c:v>266.12</c:v>
                </c:pt>
                <c:pt idx="2">
                  <c:v>270.8</c:v>
                </c:pt>
                <c:pt idx="3">
                  <c:v>213.27</c:v>
                </c:pt>
                <c:pt idx="4">
                  <c:v>215.4</c:v>
                </c:pt>
                <c:pt idx="5">
                  <c:v>217.74</c:v>
                </c:pt>
                <c:pt idx="6">
                  <c:v>200.19</c:v>
                </c:pt>
                <c:pt idx="7">
                  <c:v>203.8</c:v>
                </c:pt>
                <c:pt idx="8">
                  <c:v>207.6</c:v>
                </c:pt>
                <c:pt idx="9">
                  <c:v>208.4</c:v>
                </c:pt>
                <c:pt idx="10">
                  <c:v>208.36</c:v>
                </c:pt>
                <c:pt idx="11">
                  <c:v>209.18</c:v>
                </c:pt>
                <c:pt idx="12">
                  <c:v>207.97</c:v>
                </c:pt>
                <c:pt idx="13">
                  <c:v>205.68</c:v>
                </c:pt>
                <c:pt idx="14">
                  <c:v>198.22879120879134</c:v>
                </c:pt>
                <c:pt idx="15">
                  <c:v>195.86129670329683</c:v>
                </c:pt>
                <c:pt idx="16">
                  <c:v>193.49380219780232</c:v>
                </c:pt>
                <c:pt idx="17">
                  <c:v>191.12630769230782</c:v>
                </c:pt>
                <c:pt idx="18">
                  <c:v>188.75881318681331</c:v>
                </c:pt>
                <c:pt idx="19">
                  <c:v>186.39131868131881</c:v>
                </c:pt>
                <c:pt idx="20">
                  <c:v>184.0238241758243</c:v>
                </c:pt>
              </c:numCache>
            </c:numRef>
          </c:val>
          <c:smooth val="0"/>
          <c:extLst>
            <c:ext xmlns:c16="http://schemas.microsoft.com/office/drawing/2014/chart" uri="{C3380CC4-5D6E-409C-BE32-E72D297353CC}">
              <c16:uniqueId val="{00000002-A197-499A-B9BF-0DB635C81420}"/>
            </c:ext>
          </c:extLst>
        </c:ser>
        <c:dLbls>
          <c:showLegendKey val="0"/>
          <c:showVal val="0"/>
          <c:showCatName val="0"/>
          <c:showSerName val="0"/>
          <c:showPercent val="0"/>
          <c:showBubbleSize val="0"/>
        </c:dLbls>
        <c:smooth val="0"/>
        <c:axId val="1644227375"/>
        <c:axId val="1644227855"/>
      </c:lineChart>
      <c:catAx>
        <c:axId val="1644227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227855"/>
        <c:crosses val="autoZero"/>
        <c:auto val="1"/>
        <c:lblAlgn val="ctr"/>
        <c:lblOffset val="100"/>
        <c:noMultiLvlLbl val="0"/>
      </c:catAx>
      <c:valAx>
        <c:axId val="1644227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227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[economy-wide-emissions-trends-vadodara-gwp-ar2 (1).xlsx]graph from2210-2023!PivotTable3</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24698162729658"/>
          <c:y val="0.2572178477690289"/>
          <c:w val="0.52753018372703409"/>
          <c:h val="0.6249431321084864"/>
        </c:manualLayout>
      </c:layout>
      <c:lineChart>
        <c:grouping val="standard"/>
        <c:varyColors val="0"/>
        <c:ser>
          <c:idx val="0"/>
          <c:order val="0"/>
          <c:tx>
            <c:strRef>
              <c:f>'graph from2210-2023'!$B$3</c:f>
              <c:strCache>
                <c:ptCount val="1"/>
                <c:pt idx="0">
                  <c:v>Sum of Agriculture (kilo tonne CO₂e)</c:v>
                </c:pt>
              </c:strCache>
            </c:strRef>
          </c:tx>
          <c:spPr>
            <a:ln w="28575" cap="rnd">
              <a:solidFill>
                <a:schemeClr val="accent1"/>
              </a:solidFill>
              <a:round/>
            </a:ln>
            <a:effectLst/>
          </c:spPr>
          <c:marker>
            <c:symbol val="none"/>
          </c:marker>
          <c:cat>
            <c:strRef>
              <c:f>'graph from2210-2023'!$A$4:$A$18</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'graph from2210-2023'!$B$4:$B$18</c:f>
              <c:numCache>
                <c:formatCode>General</c:formatCode>
                <c:ptCount val="14"/>
                <c:pt idx="0">
                  <c:v>1125.27</c:v>
                </c:pt>
                <c:pt idx="1">
                  <c:v>1147.3499999999999</c:v>
                </c:pt>
                <c:pt idx="2">
                  <c:v>1174.1099999999999</c:v>
                </c:pt>
                <c:pt idx="3">
                  <c:v>730.82</c:v>
                </c:pt>
                <c:pt idx="4">
                  <c:v>670.03</c:v>
                </c:pt>
                <c:pt idx="5">
                  <c:v>606.6</c:v>
                </c:pt>
                <c:pt idx="6">
                  <c:v>538.32000000000005</c:v>
                </c:pt>
                <c:pt idx="7">
                  <c:v>470.55</c:v>
                </c:pt>
                <c:pt idx="8">
                  <c:v>441.46</c:v>
                </c:pt>
                <c:pt idx="9">
                  <c:v>417.23</c:v>
                </c:pt>
                <c:pt idx="10">
                  <c:v>401.65</c:v>
                </c:pt>
                <c:pt idx="11">
                  <c:v>371.27</c:v>
                </c:pt>
                <c:pt idx="12">
                  <c:v>350.48</c:v>
                </c:pt>
                <c:pt idx="13">
                  <c:v>338.89</c:v>
                </c:pt>
              </c:numCache>
            </c:numRef>
          </c:val>
          <c:smooth val="0"/>
          <c:extLst>
            <c:ext xmlns:c16="http://schemas.microsoft.com/office/drawing/2014/chart" uri="{C3380CC4-5D6E-409C-BE32-E72D297353CC}">
              <c16:uniqueId val="{00000000-10DF-4161-9333-B4B7E4FB02DA}"/>
            </c:ext>
          </c:extLst>
        </c:ser>
        <c:ser>
          <c:idx val="1"/>
          <c:order val="1"/>
          <c:tx>
            <c:strRef>
              <c:f>'graph from2210-2023'!$C$3</c:f>
              <c:strCache>
                <c:ptCount val="1"/>
                <c:pt idx="0">
                  <c:v>Sum of Energy (kilo tonne CO₂e)</c:v>
                </c:pt>
              </c:strCache>
            </c:strRef>
          </c:tx>
          <c:spPr>
            <a:ln w="28575" cap="rnd">
              <a:solidFill>
                <a:schemeClr val="accent2"/>
              </a:solidFill>
              <a:round/>
            </a:ln>
            <a:effectLst/>
          </c:spPr>
          <c:marker>
            <c:symbol val="none"/>
          </c:marker>
          <c:cat>
            <c:strRef>
              <c:f>'graph from2210-2023'!$A$4:$A$18</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'graph from2210-2023'!$C$4:$C$18</c:f>
              <c:numCache>
                <c:formatCode>General</c:formatCode>
                <c:ptCount val="14"/>
                <c:pt idx="0">
                  <c:v>5625.93</c:v>
                </c:pt>
                <c:pt idx="1">
                  <c:v>5138.58</c:v>
                </c:pt>
                <c:pt idx="2">
                  <c:v>5377.75</c:v>
                </c:pt>
                <c:pt idx="3">
                  <c:v>5584.56</c:v>
                </c:pt>
                <c:pt idx="4">
                  <c:v>5583.6</c:v>
                </c:pt>
                <c:pt idx="5">
                  <c:v>6122.69</c:v>
                </c:pt>
                <c:pt idx="6">
                  <c:v>6515.77</c:v>
                </c:pt>
                <c:pt idx="7">
                  <c:v>6733.86</c:v>
                </c:pt>
                <c:pt idx="8">
                  <c:v>6170.43</c:v>
                </c:pt>
                <c:pt idx="9">
                  <c:v>6158.99</c:v>
                </c:pt>
                <c:pt idx="10">
                  <c:v>6081.78</c:v>
                </c:pt>
                <c:pt idx="11">
                  <c:v>6205.7</c:v>
                </c:pt>
                <c:pt idx="12">
                  <c:v>6283.55</c:v>
                </c:pt>
                <c:pt idx="13">
                  <c:v>6960.75</c:v>
                </c:pt>
              </c:numCache>
            </c:numRef>
          </c:val>
          <c:smooth val="0"/>
          <c:extLst>
            <c:ext xmlns:c16="http://schemas.microsoft.com/office/drawing/2014/chart" uri="{C3380CC4-5D6E-409C-BE32-E72D297353CC}">
              <c16:uniqueId val="{00000001-10DF-4161-9333-B4B7E4FB02DA}"/>
            </c:ext>
          </c:extLst>
        </c:ser>
        <c:ser>
          <c:idx val="2"/>
          <c:order val="2"/>
          <c:tx>
            <c:strRef>
              <c:f>'graph from2210-2023'!$D$3</c:f>
              <c:strCache>
                <c:ptCount val="1"/>
                <c:pt idx="0">
                  <c:v>Sum of Waste (kilo tonne CO₂e)</c:v>
                </c:pt>
              </c:strCache>
            </c:strRef>
          </c:tx>
          <c:spPr>
            <a:ln w="28575" cap="rnd">
              <a:solidFill>
                <a:schemeClr val="accent3"/>
              </a:solidFill>
              <a:round/>
            </a:ln>
            <a:effectLst/>
          </c:spPr>
          <c:marker>
            <c:symbol val="none"/>
          </c:marker>
          <c:cat>
            <c:strRef>
              <c:f>'graph from2210-2023'!$A$4:$A$18</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'graph from2210-2023'!$D$4:$D$18</c:f>
              <c:numCache>
                <c:formatCode>General</c:formatCode>
                <c:ptCount val="14"/>
                <c:pt idx="0">
                  <c:v>189.28</c:v>
                </c:pt>
                <c:pt idx="1">
                  <c:v>266.12</c:v>
                </c:pt>
                <c:pt idx="2">
                  <c:v>270.8</c:v>
                </c:pt>
                <c:pt idx="3">
                  <c:v>213.27</c:v>
                </c:pt>
                <c:pt idx="4">
                  <c:v>215.4</c:v>
                </c:pt>
                <c:pt idx="5">
                  <c:v>217.74</c:v>
                </c:pt>
                <c:pt idx="6">
                  <c:v>200.19</c:v>
                </c:pt>
                <c:pt idx="7">
                  <c:v>203.8</c:v>
                </c:pt>
                <c:pt idx="8">
                  <c:v>207.6</c:v>
                </c:pt>
                <c:pt idx="9">
                  <c:v>208.4</c:v>
                </c:pt>
                <c:pt idx="10">
                  <c:v>208.36</c:v>
                </c:pt>
                <c:pt idx="11">
                  <c:v>209.18</c:v>
                </c:pt>
                <c:pt idx="12">
                  <c:v>207.97</c:v>
                </c:pt>
                <c:pt idx="13">
                  <c:v>205.68</c:v>
                </c:pt>
              </c:numCache>
            </c:numRef>
          </c:val>
          <c:smooth val="0"/>
          <c:extLst>
            <c:ext xmlns:c16="http://schemas.microsoft.com/office/drawing/2014/chart" uri="{C3380CC4-5D6E-409C-BE32-E72D297353CC}">
              <c16:uniqueId val="{00000002-10DF-4161-9333-B4B7E4FB02DA}"/>
            </c:ext>
          </c:extLst>
        </c:ser>
        <c:dLbls>
          <c:showLegendKey val="0"/>
          <c:showVal val="0"/>
          <c:showCatName val="0"/>
          <c:showSerName val="0"/>
          <c:showPercent val="0"/>
          <c:showBubbleSize val="0"/>
        </c:dLbls>
        <c:smooth val="0"/>
        <c:axId val="1637380703"/>
        <c:axId val="1637383583"/>
      </c:lineChart>
      <c:catAx>
        <c:axId val="1637380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383583"/>
        <c:crosses val="autoZero"/>
        <c:auto val="1"/>
        <c:lblAlgn val="ctr"/>
        <c:lblOffset val="100"/>
        <c:noMultiLvlLbl val="0"/>
      </c:catAx>
      <c:valAx>
        <c:axId val="1637383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380703"/>
        <c:crosses val="autoZero"/>
        <c:crossBetween val="between"/>
      </c:valAx>
      <c:spPr>
        <a:noFill/>
        <a:ln>
          <a:noFill/>
        </a:ln>
        <a:effectLst/>
      </c:spPr>
    </c:plotArea>
    <c:legend>
      <c:legendPos val="r"/>
      <c:layout>
        <c:manualLayout>
          <c:xMode val="edge"/>
          <c:yMode val="edge"/>
          <c:x val="0.33333333333333331"/>
          <c:y val="0.19032334499854184"/>
          <c:w val="0.33333333333333331"/>
          <c:h val="0.45268627879848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[economy-wide-emissions-trends-vadodara-gwp-ar2 (1).xlsx]graph from2210-2023!PivotTable3</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 from2210-2023'!$B$3</c:f>
              <c:strCache>
                <c:ptCount val="1"/>
                <c:pt idx="0">
                  <c:v>Sum of Agriculture (kilo tonne CO₂e)</c:v>
                </c:pt>
              </c:strCache>
            </c:strRef>
          </c:tx>
          <c:spPr>
            <a:ln w="28575" cap="rnd">
              <a:solidFill>
                <a:schemeClr val="accent1"/>
              </a:solidFill>
              <a:round/>
            </a:ln>
            <a:effectLst/>
          </c:spPr>
          <c:marker>
            <c:symbol val="none"/>
          </c:marker>
          <c:cat>
            <c:strRef>
              <c:f>'graph from2210-2023'!$A$4:$A$18</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'graph from2210-2023'!$B$4:$B$18</c:f>
              <c:numCache>
                <c:formatCode>General</c:formatCode>
                <c:ptCount val="14"/>
                <c:pt idx="0">
                  <c:v>1125.27</c:v>
                </c:pt>
                <c:pt idx="1">
                  <c:v>1147.3499999999999</c:v>
                </c:pt>
                <c:pt idx="2">
                  <c:v>1174.1099999999999</c:v>
                </c:pt>
                <c:pt idx="3">
                  <c:v>730.82</c:v>
                </c:pt>
                <c:pt idx="4">
                  <c:v>670.03</c:v>
                </c:pt>
                <c:pt idx="5">
                  <c:v>606.6</c:v>
                </c:pt>
                <c:pt idx="6">
                  <c:v>538.32000000000005</c:v>
                </c:pt>
                <c:pt idx="7">
                  <c:v>470.55</c:v>
                </c:pt>
                <c:pt idx="8">
                  <c:v>441.46</c:v>
                </c:pt>
                <c:pt idx="9">
                  <c:v>417.23</c:v>
                </c:pt>
                <c:pt idx="10">
                  <c:v>401.65</c:v>
                </c:pt>
                <c:pt idx="11">
                  <c:v>371.27</c:v>
                </c:pt>
                <c:pt idx="12">
                  <c:v>350.48</c:v>
                </c:pt>
                <c:pt idx="13">
                  <c:v>338.89</c:v>
                </c:pt>
              </c:numCache>
            </c:numRef>
          </c:val>
          <c:smooth val="0"/>
          <c:extLst>
            <c:ext xmlns:c16="http://schemas.microsoft.com/office/drawing/2014/chart" uri="{C3380CC4-5D6E-409C-BE32-E72D297353CC}">
              <c16:uniqueId val="{00000000-52F7-4A12-8645-B78AE405314B}"/>
            </c:ext>
          </c:extLst>
        </c:ser>
        <c:ser>
          <c:idx val="1"/>
          <c:order val="1"/>
          <c:tx>
            <c:strRef>
              <c:f>'graph from2210-2023'!$C$3</c:f>
              <c:strCache>
                <c:ptCount val="1"/>
                <c:pt idx="0">
                  <c:v>Sum of Energy (kilo tonne CO₂e)</c:v>
                </c:pt>
              </c:strCache>
            </c:strRef>
          </c:tx>
          <c:spPr>
            <a:ln w="28575" cap="rnd">
              <a:solidFill>
                <a:schemeClr val="accent2"/>
              </a:solidFill>
              <a:round/>
            </a:ln>
            <a:effectLst/>
          </c:spPr>
          <c:marker>
            <c:symbol val="none"/>
          </c:marker>
          <c:cat>
            <c:strRef>
              <c:f>'graph from2210-2023'!$A$4:$A$18</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'graph from2210-2023'!$C$4:$C$18</c:f>
              <c:numCache>
                <c:formatCode>General</c:formatCode>
                <c:ptCount val="14"/>
                <c:pt idx="0">
                  <c:v>5625.93</c:v>
                </c:pt>
                <c:pt idx="1">
                  <c:v>5138.58</c:v>
                </c:pt>
                <c:pt idx="2">
                  <c:v>5377.75</c:v>
                </c:pt>
                <c:pt idx="3">
                  <c:v>5584.56</c:v>
                </c:pt>
                <c:pt idx="4">
                  <c:v>5583.6</c:v>
                </c:pt>
                <c:pt idx="5">
                  <c:v>6122.69</c:v>
                </c:pt>
                <c:pt idx="6">
                  <c:v>6515.77</c:v>
                </c:pt>
                <c:pt idx="7">
                  <c:v>6733.86</c:v>
                </c:pt>
                <c:pt idx="8">
                  <c:v>6170.43</c:v>
                </c:pt>
                <c:pt idx="9">
                  <c:v>6158.99</c:v>
                </c:pt>
                <c:pt idx="10">
                  <c:v>6081.78</c:v>
                </c:pt>
                <c:pt idx="11">
                  <c:v>6205.7</c:v>
                </c:pt>
                <c:pt idx="12">
                  <c:v>6283.55</c:v>
                </c:pt>
                <c:pt idx="13">
                  <c:v>6960.75</c:v>
                </c:pt>
              </c:numCache>
            </c:numRef>
          </c:val>
          <c:smooth val="0"/>
          <c:extLst>
            <c:ext xmlns:c16="http://schemas.microsoft.com/office/drawing/2014/chart" uri="{C3380CC4-5D6E-409C-BE32-E72D297353CC}">
              <c16:uniqueId val="{00000001-52F7-4A12-8645-B78AE405314B}"/>
            </c:ext>
          </c:extLst>
        </c:ser>
        <c:ser>
          <c:idx val="2"/>
          <c:order val="2"/>
          <c:tx>
            <c:strRef>
              <c:f>'graph from2210-2023'!$D$3</c:f>
              <c:strCache>
                <c:ptCount val="1"/>
                <c:pt idx="0">
                  <c:v>Sum of Waste (kilo tonne CO₂e)</c:v>
                </c:pt>
              </c:strCache>
            </c:strRef>
          </c:tx>
          <c:spPr>
            <a:ln w="28575" cap="rnd">
              <a:solidFill>
                <a:schemeClr val="accent3"/>
              </a:solidFill>
              <a:round/>
            </a:ln>
            <a:effectLst/>
          </c:spPr>
          <c:marker>
            <c:symbol val="none"/>
          </c:marker>
          <c:cat>
            <c:strRef>
              <c:f>'graph from2210-2023'!$A$4:$A$18</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'graph from2210-2023'!$D$4:$D$18</c:f>
              <c:numCache>
                <c:formatCode>General</c:formatCode>
                <c:ptCount val="14"/>
                <c:pt idx="0">
                  <c:v>189.28</c:v>
                </c:pt>
                <c:pt idx="1">
                  <c:v>266.12</c:v>
                </c:pt>
                <c:pt idx="2">
                  <c:v>270.8</c:v>
                </c:pt>
                <c:pt idx="3">
                  <c:v>213.27</c:v>
                </c:pt>
                <c:pt idx="4">
                  <c:v>215.4</c:v>
                </c:pt>
                <c:pt idx="5">
                  <c:v>217.74</c:v>
                </c:pt>
                <c:pt idx="6">
                  <c:v>200.19</c:v>
                </c:pt>
                <c:pt idx="7">
                  <c:v>203.8</c:v>
                </c:pt>
                <c:pt idx="8">
                  <c:v>207.6</c:v>
                </c:pt>
                <c:pt idx="9">
                  <c:v>208.4</c:v>
                </c:pt>
                <c:pt idx="10">
                  <c:v>208.36</c:v>
                </c:pt>
                <c:pt idx="11">
                  <c:v>209.18</c:v>
                </c:pt>
                <c:pt idx="12">
                  <c:v>207.97</c:v>
                </c:pt>
                <c:pt idx="13">
                  <c:v>205.68</c:v>
                </c:pt>
              </c:numCache>
            </c:numRef>
          </c:val>
          <c:smooth val="0"/>
          <c:extLst>
            <c:ext xmlns:c16="http://schemas.microsoft.com/office/drawing/2014/chart" uri="{C3380CC4-5D6E-409C-BE32-E72D297353CC}">
              <c16:uniqueId val="{00000002-52F7-4A12-8645-B78AE405314B}"/>
            </c:ext>
          </c:extLst>
        </c:ser>
        <c:dLbls>
          <c:showLegendKey val="0"/>
          <c:showVal val="0"/>
          <c:showCatName val="0"/>
          <c:showSerName val="0"/>
          <c:showPercent val="0"/>
          <c:showBubbleSize val="0"/>
        </c:dLbls>
        <c:smooth val="0"/>
        <c:axId val="2027451839"/>
        <c:axId val="2027176927"/>
      </c:lineChart>
      <c:catAx>
        <c:axId val="202745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176927"/>
        <c:crosses val="autoZero"/>
        <c:auto val="1"/>
        <c:lblAlgn val="ctr"/>
        <c:lblOffset val="100"/>
        <c:noMultiLvlLbl val="0"/>
      </c:catAx>
      <c:valAx>
        <c:axId val="2027176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451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342900</xdr:colOff>
      <xdr:row>6</xdr:row>
      <xdr:rowOff>45720</xdr:rowOff>
    </xdr:from>
    <xdr:to>
      <xdr:col>12</xdr:col>
      <xdr:colOff>38100</xdr:colOff>
      <xdr:row>21</xdr:row>
      <xdr:rowOff>45720</xdr:rowOff>
    </xdr:to>
    <xdr:graphicFrame macro="">
      <xdr:nvGraphicFramePr>
        <xdr:cNvPr id="2" name="Chart 1">
          <a:extLst>
            <a:ext uri="{FF2B5EF4-FFF2-40B4-BE49-F238E27FC236}">
              <a16:creationId xmlns:a16="http://schemas.microsoft.com/office/drawing/2014/main" id="{7F1869BF-2658-C0E9-59B2-EC99DD603A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76200</xdr:colOff>
      <xdr:row>6</xdr:row>
      <xdr:rowOff>45720</xdr:rowOff>
    </xdr:from>
    <xdr:to>
      <xdr:col>5</xdr:col>
      <xdr:colOff>175260</xdr:colOff>
      <xdr:row>21</xdr:row>
      <xdr:rowOff>45720</xdr:rowOff>
    </xdr:to>
    <xdr:graphicFrame macro="">
      <xdr:nvGraphicFramePr>
        <xdr:cNvPr id="2" name="Chart 1">
          <a:extLst>
            <a:ext uri="{FF2B5EF4-FFF2-40B4-BE49-F238E27FC236}">
              <a16:creationId xmlns:a16="http://schemas.microsoft.com/office/drawing/2014/main" id="{2F37DCB0-B881-01EA-6986-874A21E891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213360</xdr:colOff>
      <xdr:row>15</xdr:row>
      <xdr:rowOff>95250</xdr:rowOff>
    </xdr:from>
    <xdr:to>
      <xdr:col>11</xdr:col>
      <xdr:colOff>518160</xdr:colOff>
      <xdr:row>30</xdr:row>
      <xdr:rowOff>95250</xdr:rowOff>
    </xdr:to>
    <xdr:graphicFrame macro="">
      <xdr:nvGraphicFramePr>
        <xdr:cNvPr id="2" name="Chart 1">
          <a:extLst>
            <a:ext uri="{FF2B5EF4-FFF2-40B4-BE49-F238E27FC236}">
              <a16:creationId xmlns:a16="http://schemas.microsoft.com/office/drawing/2014/main" id="{AFB89333-CE4C-A7BF-194A-3C623FAC3A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274320</xdr:colOff>
      <xdr:row>0</xdr:row>
      <xdr:rowOff>22860</xdr:rowOff>
    </xdr:from>
    <xdr:to>
      <xdr:col>11</xdr:col>
      <xdr:colOff>579120</xdr:colOff>
      <xdr:row>15</xdr:row>
      <xdr:rowOff>22860</xdr:rowOff>
    </xdr:to>
    <xdr:graphicFrame macro="">
      <xdr:nvGraphicFramePr>
        <xdr:cNvPr id="3" name="Chart 2">
          <a:extLst>
            <a:ext uri="{FF2B5EF4-FFF2-40B4-BE49-F238E27FC236}">
              <a16:creationId xmlns:a16="http://schemas.microsoft.com/office/drawing/2014/main" id="{FAC0DCBA-1AC2-A047-A512-5FA419CEC5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44.307915740741" createdVersion="8" refreshedVersion="8" minRefreshableVersion="3" recordCount="14" xr:uid="{318DB06A-0D7D-431C-9D48-52AB57995A00}">
  <cacheSource type="worksheet">
    <worksheetSource ref="A1:D15" sheet="Sheet1"/>
  </cacheSource>
  <cacheFields count="4">
    <cacheField name="Year" numFmtId="0">
      <sharedItems containsSemiMixedTypes="0" containsString="0" containsNumber="1" containsInteger="1" minValue="2010" maxValue="2023" count="14">
        <n v="2010"/>
        <n v="2011"/>
        <n v="2012"/>
        <n v="2013"/>
        <n v="2014"/>
        <n v="2015"/>
        <n v="2016"/>
        <n v="2017"/>
        <n v="2018"/>
        <n v="2019"/>
        <n v="2020"/>
        <n v="2021"/>
        <n v="2022"/>
        <n v="2023"/>
      </sharedItems>
    </cacheField>
    <cacheField name="Agriculture (kilo tonne CO₂e)" numFmtId="0">
      <sharedItems containsSemiMixedTypes="0" containsString="0" containsNumber="1" minValue="338.89" maxValue="1174.1099999999999"/>
    </cacheField>
    <cacheField name="Energy (kilo tonne CO₂e)" numFmtId="0">
      <sharedItems containsSemiMixedTypes="0" containsString="0" containsNumber="1" minValue="5138.58" maxValue="6960.75"/>
    </cacheField>
    <cacheField name="Waste (kilo tonne CO₂e)" numFmtId="0">
      <sharedItems containsSemiMixedTypes="0" containsString="0" containsNumber="1" minValue="189.28" maxValue="270.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44.327051851855" createdVersion="8" refreshedVersion="8" minRefreshableVersion="3" recordCount="21" xr:uid="{F9FDEA79-CA25-4410-9492-E6209A8F43B7}">
  <cacheSource type="worksheet">
    <worksheetSource ref="A1:D22" sheet="Sheet1"/>
  </cacheSource>
  <cacheFields count="4">
    <cacheField name="Year" numFmtId="0">
      <sharedItems containsSemiMixedTypes="0" containsString="0" containsNumber="1" containsInteger="1" minValue="2010" maxValue="2030" count="21">
        <n v="2010"/>
        <n v="2011"/>
        <n v="2012"/>
        <n v="2013"/>
        <n v="2014"/>
        <n v="2015"/>
        <n v="2016"/>
        <n v="2017"/>
        <n v="2018"/>
        <n v="2019"/>
        <n v="2020"/>
        <n v="2021"/>
        <n v="2022"/>
        <n v="2023"/>
        <n v="2024"/>
        <n v="2025"/>
        <n v="2026"/>
        <n v="2027"/>
        <n v="2028"/>
        <n v="2029"/>
        <n v="2030"/>
      </sharedItems>
    </cacheField>
    <cacheField name="Agriculture (kilo tonne CO₂e)" numFmtId="0">
      <sharedItems containsSemiMixedTypes="0" containsString="0" containsNumber="1" minValue="-272.92879120877478" maxValue="1174.1099999999999"/>
    </cacheField>
    <cacheField name="Energy (kilo tonne CO₂e)" numFmtId="0">
      <sharedItems containsSemiMixedTypes="0" containsString="0" containsNumber="1" minValue="5138.58" maxValue="7347.8389670329634"/>
    </cacheField>
    <cacheField name="Waste (kilo tonne CO₂e)" numFmtId="0">
      <sharedItems containsSemiMixedTypes="0" containsString="0" containsNumber="1" minValue="184.0238241758243" maxValue="270.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44.886504629627" createdVersion="8" refreshedVersion="8" minRefreshableVersion="3" recordCount="16" xr:uid="{064F5C84-3A75-49D4-BFA8-11E19D9BC1BC}">
  <cacheSource type="worksheet">
    <worksheetSource ref="A2:D18" sheet="temperature"/>
  </cacheSource>
  <cacheFields count="4">
    <cacheField name="Years" numFmtId="0">
      <sharedItems containsSemiMixedTypes="0" containsString="0" containsNumber="1" containsInteger="1" minValue="2010" maxValue="2025" count="16">
        <n v="2010"/>
        <n v="2011"/>
        <n v="2012"/>
        <n v="2013"/>
        <n v="2014"/>
        <n v="2015"/>
        <n v="2016"/>
        <n v="2017"/>
        <n v="2018"/>
        <n v="2019"/>
        <n v="2020"/>
        <n v="2021"/>
        <n v="2022"/>
        <n v="2023"/>
        <n v="2024"/>
        <n v="2025"/>
      </sharedItems>
    </cacheField>
    <cacheField name="Highest" numFmtId="0">
      <sharedItems containsSemiMixedTypes="0" containsString="0" containsNumber="1" minValue="39.1" maxValue="42.5"/>
    </cacheField>
    <cacheField name="Lowest" numFmtId="0">
      <sharedItems containsSemiMixedTypes="0" containsString="0" containsNumber="1" minValue="14.5" maxValue="17.899999999999999"/>
    </cacheField>
    <cacheField name="dtr " numFmtId="0">
      <sharedItems containsSemiMixedTypes="0" containsString="0" containsNumber="1" minValue="23.000000000000004" maxValue="27.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n v="1125.27"/>
    <n v="5625.93"/>
    <n v="189.28"/>
  </r>
  <r>
    <x v="1"/>
    <n v="1147.3499999999999"/>
    <n v="5138.58"/>
    <n v="266.12"/>
  </r>
  <r>
    <x v="2"/>
    <n v="1174.1099999999999"/>
    <n v="5377.75"/>
    <n v="270.8"/>
  </r>
  <r>
    <x v="3"/>
    <n v="730.82"/>
    <n v="5584.56"/>
    <n v="213.27"/>
  </r>
  <r>
    <x v="4"/>
    <n v="670.03"/>
    <n v="5583.6"/>
    <n v="215.4"/>
  </r>
  <r>
    <x v="5"/>
    <n v="606.6"/>
    <n v="6122.69"/>
    <n v="217.74"/>
  </r>
  <r>
    <x v="6"/>
    <n v="538.32000000000005"/>
    <n v="6515.77"/>
    <n v="200.19"/>
  </r>
  <r>
    <x v="7"/>
    <n v="470.55"/>
    <n v="6733.86"/>
    <n v="203.8"/>
  </r>
  <r>
    <x v="8"/>
    <n v="441.46"/>
    <n v="6170.43"/>
    <n v="207.6"/>
  </r>
  <r>
    <x v="9"/>
    <n v="417.23"/>
    <n v="6158.99"/>
    <n v="208.4"/>
  </r>
  <r>
    <x v="10"/>
    <n v="401.65"/>
    <n v="6081.78"/>
    <n v="208.36"/>
  </r>
  <r>
    <x v="11"/>
    <n v="371.27"/>
    <n v="6205.7"/>
    <n v="209.18"/>
  </r>
  <r>
    <x v="12"/>
    <n v="350.48"/>
    <n v="6283.55"/>
    <n v="207.97"/>
  </r>
  <r>
    <x v="13"/>
    <n v="338.89"/>
    <n v="6960.75"/>
    <n v="205.6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x v="0"/>
    <n v="1125.27"/>
    <n v="5625.93"/>
    <n v="189.28"/>
  </r>
  <r>
    <x v="1"/>
    <n v="1147.3499999999999"/>
    <n v="5138.58"/>
    <n v="266.12"/>
  </r>
  <r>
    <x v="2"/>
    <n v="1174.1099999999999"/>
    <n v="5377.75"/>
    <n v="270.8"/>
  </r>
  <r>
    <x v="3"/>
    <n v="730.82"/>
    <n v="5584.56"/>
    <n v="213.27"/>
  </r>
  <r>
    <x v="4"/>
    <n v="670.03"/>
    <n v="5583.6"/>
    <n v="215.4"/>
  </r>
  <r>
    <x v="5"/>
    <n v="606.6"/>
    <n v="6122.69"/>
    <n v="217.74"/>
  </r>
  <r>
    <x v="6"/>
    <n v="538.32000000000005"/>
    <n v="6515.77"/>
    <n v="200.19"/>
  </r>
  <r>
    <x v="7"/>
    <n v="470.55"/>
    <n v="6733.86"/>
    <n v="203.8"/>
  </r>
  <r>
    <x v="8"/>
    <n v="441.46"/>
    <n v="6170.43"/>
    <n v="207.6"/>
  </r>
  <r>
    <x v="9"/>
    <n v="417.23"/>
    <n v="6158.99"/>
    <n v="208.4"/>
  </r>
  <r>
    <x v="10"/>
    <n v="401.65"/>
    <n v="6081.78"/>
    <n v="208.36"/>
  </r>
  <r>
    <x v="11"/>
    <n v="371.27"/>
    <n v="6205.7"/>
    <n v="209.18"/>
  </r>
  <r>
    <x v="12"/>
    <n v="350.48"/>
    <n v="6283.55"/>
    <n v="207.97"/>
  </r>
  <r>
    <x v="13"/>
    <n v="338.89"/>
    <n v="6960.75"/>
    <n v="205.68"/>
  </r>
  <r>
    <x v="14"/>
    <n v="127.23098901100457"/>
    <n v="6766.0673626373755"/>
    <n v="198.22879120879134"/>
  </r>
  <r>
    <x v="15"/>
    <n v="60.537692307698308"/>
    <n v="6863.0292967033165"/>
    <n v="195.86129670329683"/>
  </r>
  <r>
    <x v="16"/>
    <n v="-6.1556043955788482"/>
    <n v="6959.9912307692284"/>
    <n v="193.49380219780232"/>
  </r>
  <r>
    <x v="17"/>
    <n v="-72.848901098885108"/>
    <n v="7056.9531648351694"/>
    <n v="191.12630769230782"/>
  </r>
  <r>
    <x v="18"/>
    <n v="-139.54219780219137"/>
    <n v="7153.9150989011105"/>
    <n v="188.75881318681331"/>
  </r>
  <r>
    <x v="19"/>
    <n v="-206.23549450546852"/>
    <n v="7250.8770329670515"/>
    <n v="186.39131868131881"/>
  </r>
  <r>
    <x v="20"/>
    <n v="-272.92879120877478"/>
    <n v="7347.8389670329634"/>
    <n v="184.023824175824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n v="40.9"/>
    <n v="17.3"/>
    <n v="23.599999999999998"/>
  </r>
  <r>
    <x v="1"/>
    <n v="40.299999999999997"/>
    <n v="14.5"/>
    <n v="25.799999999999997"/>
  </r>
  <r>
    <x v="2"/>
    <n v="39.1"/>
    <n v="14.8"/>
    <n v="24.3"/>
  </r>
  <r>
    <x v="3"/>
    <n v="40.1"/>
    <n v="15.8"/>
    <n v="24.3"/>
  </r>
  <r>
    <x v="4"/>
    <n v="40.5"/>
    <n v="16.100000000000001"/>
    <n v="24.4"/>
  </r>
  <r>
    <x v="5"/>
    <n v="41.1"/>
    <n v="16.2"/>
    <n v="24.900000000000002"/>
  </r>
  <r>
    <x v="6"/>
    <n v="40.200000000000003"/>
    <n v="17.2"/>
    <n v="23.000000000000004"/>
  </r>
  <r>
    <x v="7"/>
    <n v="40.9"/>
    <n v="16.5"/>
    <n v="24.4"/>
  </r>
  <r>
    <x v="8"/>
    <n v="41.5"/>
    <n v="17.2"/>
    <n v="24.3"/>
  </r>
  <r>
    <x v="9"/>
    <n v="40.5"/>
    <n v="15.1"/>
    <n v="25.4"/>
  </r>
  <r>
    <x v="10"/>
    <n v="42.05"/>
    <n v="15.7"/>
    <n v="26.349999999999998"/>
  </r>
  <r>
    <x v="11"/>
    <n v="40.090000000000003"/>
    <n v="17.059999999999999"/>
    <n v="23.030000000000005"/>
  </r>
  <r>
    <x v="12"/>
    <n v="42.5"/>
    <n v="15.2"/>
    <n v="27.3"/>
  </r>
  <r>
    <x v="13"/>
    <n v="40.9"/>
    <n v="15.3"/>
    <n v="25.599999999999998"/>
  </r>
  <r>
    <x v="14"/>
    <n v="41.7"/>
    <n v="17.09"/>
    <n v="24.610000000000003"/>
  </r>
  <r>
    <x v="15"/>
    <n v="41.9"/>
    <n v="17.899999999999999"/>
    <n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CE0AE0-C916-41BB-8604-8EFDD28B6DEC}"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20" firstHeaderRow="0" firstDataRow="1" firstDataCol="1"/>
  <pivotFields count="4">
    <pivotField axis="axisRow" showAll="0">
      <items count="17">
        <item x="0"/>
        <item x="1"/>
        <item x="2"/>
        <item x="3"/>
        <item x="4"/>
        <item x="5"/>
        <item x="6"/>
        <item x="7"/>
        <item x="8"/>
        <item x="9"/>
        <item x="10"/>
        <item x="11"/>
        <item x="12"/>
        <item x="13"/>
        <item x="14"/>
        <item x="15"/>
        <item t="default"/>
      </items>
    </pivotField>
    <pivotField dataField="1" showAll="0"/>
    <pivotField dataField="1" showAll="0"/>
    <pivotField dataField="1" showAll="0"/>
  </pivotFields>
  <rowFields count="1">
    <field x="0"/>
  </rowFields>
  <rowItems count="17">
    <i>
      <x/>
    </i>
    <i>
      <x v="1"/>
    </i>
    <i>
      <x v="2"/>
    </i>
    <i>
      <x v="3"/>
    </i>
    <i>
      <x v="4"/>
    </i>
    <i>
      <x v="5"/>
    </i>
    <i>
      <x v="6"/>
    </i>
    <i>
      <x v="7"/>
    </i>
    <i>
      <x v="8"/>
    </i>
    <i>
      <x v="9"/>
    </i>
    <i>
      <x v="10"/>
    </i>
    <i>
      <x v="11"/>
    </i>
    <i>
      <x v="12"/>
    </i>
    <i>
      <x v="13"/>
    </i>
    <i>
      <x v="14"/>
    </i>
    <i>
      <x v="15"/>
    </i>
    <i t="grand">
      <x/>
    </i>
  </rowItems>
  <colFields count="1">
    <field x="-2"/>
  </colFields>
  <colItems count="3">
    <i>
      <x/>
    </i>
    <i i="1">
      <x v="1"/>
    </i>
    <i i="2">
      <x v="2"/>
    </i>
  </colItems>
  <dataFields count="3">
    <dataField name="Sum of Highest" fld="1" baseField="0" baseItem="0"/>
    <dataField name="Sum of Lowest" fld="2" baseField="0" baseItem="0"/>
    <dataField name="Sum of dtr " fld="3" baseField="0" baseItem="0"/>
  </dataFields>
  <chartFormats count="3">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E7DDEE-D1A1-453A-A593-F5F738E9FED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D25" firstHeaderRow="0" firstDataRow="1" firstDataCol="1"/>
  <pivotFields count="4">
    <pivotField axis="axisRow" showAll="0">
      <items count="22">
        <item x="0"/>
        <item x="1"/>
        <item x="2"/>
        <item x="3"/>
        <item x="4"/>
        <item x="5"/>
        <item x="6"/>
        <item x="7"/>
        <item x="8"/>
        <item x="9"/>
        <item x="10"/>
        <item x="11"/>
        <item x="12"/>
        <item x="13"/>
        <item x="14"/>
        <item x="15"/>
        <item x="16"/>
        <item x="17"/>
        <item x="18"/>
        <item x="19"/>
        <item x="20"/>
        <item t="default"/>
      </items>
    </pivotField>
    <pivotField dataField="1" showAll="0"/>
    <pivotField dataField="1" showAll="0"/>
    <pivotField dataField="1" showAll="0"/>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3">
    <i>
      <x/>
    </i>
    <i i="1">
      <x v="1"/>
    </i>
    <i i="2">
      <x v="2"/>
    </i>
  </colItems>
  <dataFields count="3">
    <dataField name="Sum of Agriculture (kilo tonne CO₂e)" fld="1" baseField="0" baseItem="0"/>
    <dataField name="Sum of Energy (kilo tonne CO₂e)" fld="2" baseField="0" baseItem="0"/>
    <dataField name="Sum of Waste (kilo tonne CO₂e)" fld="3"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575E08-86CD-4C22-982F-FD34504F8EA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18" firstHeaderRow="0" firstDataRow="1" firstDataCol="1"/>
  <pivotFields count="4">
    <pivotField axis="axisRow" showAll="0">
      <items count="15">
        <item x="0"/>
        <item x="1"/>
        <item x="2"/>
        <item x="3"/>
        <item x="4"/>
        <item x="5"/>
        <item x="6"/>
        <item x="7"/>
        <item x="8"/>
        <item x="9"/>
        <item x="10"/>
        <item x="11"/>
        <item x="12"/>
        <item x="13"/>
        <item t="default"/>
      </items>
    </pivotField>
    <pivotField dataField="1" showAll="0"/>
    <pivotField dataField="1" showAll="0"/>
    <pivotField dataField="1" showAll="0"/>
  </pivotFields>
  <rowFields count="1">
    <field x="0"/>
  </rowFields>
  <rowItems count="15">
    <i>
      <x/>
    </i>
    <i>
      <x v="1"/>
    </i>
    <i>
      <x v="2"/>
    </i>
    <i>
      <x v="3"/>
    </i>
    <i>
      <x v="4"/>
    </i>
    <i>
      <x v="5"/>
    </i>
    <i>
      <x v="6"/>
    </i>
    <i>
      <x v="7"/>
    </i>
    <i>
      <x v="8"/>
    </i>
    <i>
      <x v="9"/>
    </i>
    <i>
      <x v="10"/>
    </i>
    <i>
      <x v="11"/>
    </i>
    <i>
      <x v="12"/>
    </i>
    <i>
      <x v="13"/>
    </i>
    <i t="grand">
      <x/>
    </i>
  </rowItems>
  <colFields count="1">
    <field x="-2"/>
  </colFields>
  <colItems count="3">
    <i>
      <x/>
    </i>
    <i i="1">
      <x v="1"/>
    </i>
    <i i="2">
      <x v="2"/>
    </i>
  </colItems>
  <dataFields count="3">
    <dataField name="Sum of Agriculture (kilo tonne CO₂e)" fld="1" baseField="0" baseItem="0"/>
    <dataField name="Sum of Energy (kilo tonne CO₂e)" fld="2" baseField="0" baseItem="0"/>
    <dataField name="Sum of Waste (kilo tonne CO₂e)" fld="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49223-80B3-4B35-8DBB-F43ACD18E2E3}">
  <dimension ref="A3:D20"/>
  <sheetViews>
    <sheetView workbookViewId="0">
      <selection activeCell="A4" sqref="A4:B19"/>
    </sheetView>
  </sheetViews>
  <sheetFormatPr defaultRowHeight="14.4" x14ac:dyDescent="0.3"/>
  <cols>
    <col min="1" max="1" width="12.5546875" bestFit="1" customWidth="1"/>
    <col min="2" max="2" width="13.77734375" bestFit="1" customWidth="1"/>
    <col min="3" max="3" width="13.44140625" bestFit="1" customWidth="1"/>
    <col min="4" max="4" width="10.33203125" bestFit="1" customWidth="1"/>
  </cols>
  <sheetData>
    <row r="3" spans="1:4" x14ac:dyDescent="0.3">
      <c r="A3" s="1" t="s">
        <v>4</v>
      </c>
      <c r="B3" t="s">
        <v>53</v>
      </c>
      <c r="C3" t="s">
        <v>54</v>
      </c>
      <c r="D3" t="s">
        <v>52</v>
      </c>
    </row>
    <row r="4" spans="1:4" x14ac:dyDescent="0.3">
      <c r="A4" s="2">
        <v>2010</v>
      </c>
      <c r="B4">
        <v>40.9</v>
      </c>
      <c r="C4">
        <v>17.3</v>
      </c>
      <c r="D4">
        <v>23.599999999999998</v>
      </c>
    </row>
    <row r="5" spans="1:4" x14ac:dyDescent="0.3">
      <c r="A5" s="2">
        <v>2011</v>
      </c>
      <c r="B5">
        <v>40.299999999999997</v>
      </c>
      <c r="C5">
        <v>14.5</v>
      </c>
      <c r="D5">
        <v>25.799999999999997</v>
      </c>
    </row>
    <row r="6" spans="1:4" x14ac:dyDescent="0.3">
      <c r="A6" s="2">
        <v>2012</v>
      </c>
      <c r="B6">
        <v>39.1</v>
      </c>
      <c r="C6">
        <v>14.8</v>
      </c>
      <c r="D6">
        <v>24.3</v>
      </c>
    </row>
    <row r="7" spans="1:4" x14ac:dyDescent="0.3">
      <c r="A7" s="2">
        <v>2013</v>
      </c>
      <c r="B7">
        <v>40.1</v>
      </c>
      <c r="C7">
        <v>15.8</v>
      </c>
      <c r="D7">
        <v>24.3</v>
      </c>
    </row>
    <row r="8" spans="1:4" x14ac:dyDescent="0.3">
      <c r="A8" s="2">
        <v>2014</v>
      </c>
      <c r="B8">
        <v>40.5</v>
      </c>
      <c r="C8">
        <v>16.100000000000001</v>
      </c>
      <c r="D8">
        <v>24.4</v>
      </c>
    </row>
    <row r="9" spans="1:4" x14ac:dyDescent="0.3">
      <c r="A9" s="2">
        <v>2015</v>
      </c>
      <c r="B9">
        <v>41.1</v>
      </c>
      <c r="C9">
        <v>16.2</v>
      </c>
      <c r="D9">
        <v>24.900000000000002</v>
      </c>
    </row>
    <row r="10" spans="1:4" x14ac:dyDescent="0.3">
      <c r="A10" s="2">
        <v>2016</v>
      </c>
      <c r="B10">
        <v>40.200000000000003</v>
      </c>
      <c r="C10">
        <v>17.2</v>
      </c>
      <c r="D10">
        <v>23.000000000000004</v>
      </c>
    </row>
    <row r="11" spans="1:4" x14ac:dyDescent="0.3">
      <c r="A11" s="2">
        <v>2017</v>
      </c>
      <c r="B11">
        <v>40.9</v>
      </c>
      <c r="C11">
        <v>16.5</v>
      </c>
      <c r="D11">
        <v>24.4</v>
      </c>
    </row>
    <row r="12" spans="1:4" x14ac:dyDescent="0.3">
      <c r="A12" s="2">
        <v>2018</v>
      </c>
      <c r="B12">
        <v>41.5</v>
      </c>
      <c r="C12">
        <v>17.2</v>
      </c>
      <c r="D12">
        <v>24.3</v>
      </c>
    </row>
    <row r="13" spans="1:4" x14ac:dyDescent="0.3">
      <c r="A13" s="2">
        <v>2019</v>
      </c>
      <c r="B13">
        <v>40.5</v>
      </c>
      <c r="C13">
        <v>15.1</v>
      </c>
      <c r="D13">
        <v>25.4</v>
      </c>
    </row>
    <row r="14" spans="1:4" x14ac:dyDescent="0.3">
      <c r="A14" s="2">
        <v>2020</v>
      </c>
      <c r="B14">
        <v>42.05</v>
      </c>
      <c r="C14">
        <v>15.7</v>
      </c>
      <c r="D14">
        <v>26.349999999999998</v>
      </c>
    </row>
    <row r="15" spans="1:4" x14ac:dyDescent="0.3">
      <c r="A15" s="2">
        <v>2021</v>
      </c>
      <c r="B15">
        <v>40.090000000000003</v>
      </c>
      <c r="C15">
        <v>17.059999999999999</v>
      </c>
      <c r="D15">
        <v>23.030000000000005</v>
      </c>
    </row>
    <row r="16" spans="1:4" x14ac:dyDescent="0.3">
      <c r="A16" s="2">
        <v>2022</v>
      </c>
      <c r="B16">
        <v>42.5</v>
      </c>
      <c r="C16">
        <v>15.2</v>
      </c>
      <c r="D16">
        <v>27.3</v>
      </c>
    </row>
    <row r="17" spans="1:4" x14ac:dyDescent="0.3">
      <c r="A17" s="2">
        <v>2023</v>
      </c>
      <c r="B17">
        <v>40.9</v>
      </c>
      <c r="C17">
        <v>15.3</v>
      </c>
      <c r="D17">
        <v>25.599999999999998</v>
      </c>
    </row>
    <row r="18" spans="1:4" x14ac:dyDescent="0.3">
      <c r="A18" s="2">
        <v>2024</v>
      </c>
      <c r="B18">
        <v>41.7</v>
      </c>
      <c r="C18">
        <v>17.09</v>
      </c>
      <c r="D18">
        <v>24.610000000000003</v>
      </c>
    </row>
    <row r="19" spans="1:4" x14ac:dyDescent="0.3">
      <c r="A19" s="2">
        <v>2025</v>
      </c>
      <c r="B19">
        <v>41.9</v>
      </c>
      <c r="C19">
        <v>17.899999999999999</v>
      </c>
      <c r="D19">
        <v>24</v>
      </c>
    </row>
    <row r="20" spans="1:4" x14ac:dyDescent="0.3">
      <c r="A20" s="2" t="s">
        <v>5</v>
      </c>
      <c r="B20">
        <v>654.24</v>
      </c>
      <c r="C20">
        <v>258.95</v>
      </c>
      <c r="D20">
        <v>395.29000000000008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EC7B2-264B-471A-B6F9-74231F54737E}">
  <dimension ref="A1:G39"/>
  <sheetViews>
    <sheetView workbookViewId="0">
      <selection activeCell="J14" sqref="J14"/>
    </sheetView>
  </sheetViews>
  <sheetFormatPr defaultRowHeight="14.4" x14ac:dyDescent="0.3"/>
  <sheetData>
    <row r="1" spans="1:7" x14ac:dyDescent="0.3">
      <c r="A1" t="s">
        <v>47</v>
      </c>
      <c r="B1" t="s">
        <v>48</v>
      </c>
    </row>
    <row r="2" spans="1:7" ht="18" x14ac:dyDescent="0.3">
      <c r="A2" t="s">
        <v>47</v>
      </c>
      <c r="B2" t="s">
        <v>49</v>
      </c>
      <c r="C2" t="s">
        <v>50</v>
      </c>
      <c r="D2" t="s">
        <v>51</v>
      </c>
      <c r="F2" s="4" t="s">
        <v>55</v>
      </c>
    </row>
    <row r="3" spans="1:7" x14ac:dyDescent="0.3">
      <c r="A3">
        <v>2010</v>
      </c>
      <c r="B3">
        <v>40.9</v>
      </c>
      <c r="C3">
        <v>17.3</v>
      </c>
      <c r="D3">
        <f>B3-C3</f>
        <v>23.599999999999998</v>
      </c>
      <c r="F3" s="5"/>
    </row>
    <row r="4" spans="1:7" x14ac:dyDescent="0.3">
      <c r="A4">
        <v>2011</v>
      </c>
      <c r="B4">
        <v>40.299999999999997</v>
      </c>
      <c r="C4">
        <v>14.5</v>
      </c>
      <c r="D4">
        <f t="shared" ref="D4:D18" si="0">B4-C4</f>
        <v>25.799999999999997</v>
      </c>
      <c r="F4" s="6" t="s">
        <v>56</v>
      </c>
    </row>
    <row r="5" spans="1:7" x14ac:dyDescent="0.3">
      <c r="A5">
        <v>2012</v>
      </c>
      <c r="B5">
        <v>39.1</v>
      </c>
      <c r="C5">
        <v>14.8</v>
      </c>
      <c r="D5">
        <f t="shared" si="0"/>
        <v>24.3</v>
      </c>
    </row>
    <row r="6" spans="1:7" x14ac:dyDescent="0.3">
      <c r="A6">
        <v>2013</v>
      </c>
      <c r="B6">
        <v>40.1</v>
      </c>
      <c r="C6">
        <v>15.8</v>
      </c>
      <c r="D6">
        <f t="shared" si="0"/>
        <v>24.3</v>
      </c>
      <c r="F6" t="s">
        <v>57</v>
      </c>
    </row>
    <row r="7" spans="1:7" x14ac:dyDescent="0.3">
      <c r="A7">
        <v>2014</v>
      </c>
      <c r="B7">
        <v>40.5</v>
      </c>
      <c r="C7">
        <v>16.100000000000001</v>
      </c>
      <c r="D7">
        <f t="shared" si="0"/>
        <v>24.4</v>
      </c>
    </row>
    <row r="8" spans="1:7" x14ac:dyDescent="0.3">
      <c r="A8">
        <v>2015</v>
      </c>
      <c r="B8">
        <v>41.1</v>
      </c>
      <c r="C8">
        <v>16.2</v>
      </c>
      <c r="D8">
        <f t="shared" si="0"/>
        <v>24.900000000000002</v>
      </c>
    </row>
    <row r="9" spans="1:7" x14ac:dyDescent="0.3">
      <c r="A9">
        <v>2016</v>
      </c>
      <c r="B9">
        <v>40.200000000000003</v>
      </c>
      <c r="C9">
        <v>17.2</v>
      </c>
      <c r="D9">
        <f t="shared" si="0"/>
        <v>23.000000000000004</v>
      </c>
    </row>
    <row r="10" spans="1:7" ht="18" x14ac:dyDescent="0.3">
      <c r="A10">
        <v>2017</v>
      </c>
      <c r="B10">
        <v>40.9</v>
      </c>
      <c r="C10">
        <v>16.5</v>
      </c>
      <c r="D10">
        <f t="shared" si="0"/>
        <v>24.4</v>
      </c>
      <c r="F10" s="4" t="s">
        <v>60</v>
      </c>
    </row>
    <row r="11" spans="1:7" x14ac:dyDescent="0.3">
      <c r="A11">
        <v>2018</v>
      </c>
      <c r="B11">
        <v>41.5</v>
      </c>
      <c r="C11">
        <v>17.2</v>
      </c>
      <c r="D11">
        <f t="shared" si="0"/>
        <v>24.3</v>
      </c>
      <c r="F11" s="5"/>
    </row>
    <row r="12" spans="1:7" x14ac:dyDescent="0.3">
      <c r="A12">
        <v>2019</v>
      </c>
      <c r="B12">
        <v>40.5</v>
      </c>
      <c r="C12">
        <v>15.1</v>
      </c>
      <c r="D12">
        <f t="shared" si="0"/>
        <v>25.4</v>
      </c>
      <c r="F12" s="6" t="s">
        <v>58</v>
      </c>
    </row>
    <row r="13" spans="1:7" x14ac:dyDescent="0.3">
      <c r="A13">
        <v>2020</v>
      </c>
      <c r="B13">
        <v>42.05</v>
      </c>
      <c r="C13">
        <v>15.7</v>
      </c>
      <c r="D13">
        <f t="shared" si="0"/>
        <v>26.349999999999998</v>
      </c>
    </row>
    <row r="14" spans="1:7" x14ac:dyDescent="0.3">
      <c r="A14">
        <v>2021</v>
      </c>
      <c r="B14">
        <v>40.090000000000003</v>
      </c>
      <c r="C14">
        <v>17.059999999999999</v>
      </c>
      <c r="D14">
        <f t="shared" si="0"/>
        <v>23.030000000000005</v>
      </c>
      <c r="F14" t="s">
        <v>59</v>
      </c>
    </row>
    <row r="15" spans="1:7" x14ac:dyDescent="0.3">
      <c r="A15">
        <v>2022</v>
      </c>
      <c r="B15">
        <v>42.5</v>
      </c>
      <c r="C15">
        <v>15.2</v>
      </c>
      <c r="D15">
        <f t="shared" si="0"/>
        <v>27.3</v>
      </c>
    </row>
    <row r="16" spans="1:7" ht="18" x14ac:dyDescent="0.35">
      <c r="A16">
        <v>2023</v>
      </c>
      <c r="B16">
        <v>40.9</v>
      </c>
      <c r="C16">
        <v>15.3</v>
      </c>
      <c r="D16">
        <f t="shared" si="0"/>
        <v>25.599999999999998</v>
      </c>
      <c r="F16" s="15" t="s">
        <v>72</v>
      </c>
      <c r="G16" s="15"/>
    </row>
    <row r="17" spans="1:7" ht="18" x14ac:dyDescent="0.35">
      <c r="A17">
        <v>2024</v>
      </c>
      <c r="B17">
        <v>41.7</v>
      </c>
      <c r="C17">
        <v>17.09</v>
      </c>
      <c r="D17">
        <f t="shared" si="0"/>
        <v>24.610000000000003</v>
      </c>
      <c r="F17" s="15"/>
      <c r="G17" s="15"/>
    </row>
    <row r="18" spans="1:7" x14ac:dyDescent="0.3">
      <c r="A18">
        <v>2025</v>
      </c>
      <c r="B18">
        <v>41.9</v>
      </c>
      <c r="C18">
        <v>17.899999999999999</v>
      </c>
      <c r="D18">
        <f t="shared" si="0"/>
        <v>24</v>
      </c>
      <c r="F18" t="s">
        <v>61</v>
      </c>
    </row>
    <row r="21" spans="1:7" x14ac:dyDescent="0.3">
      <c r="F21" t="s">
        <v>62</v>
      </c>
    </row>
    <row r="24" spans="1:7" x14ac:dyDescent="0.3">
      <c r="F24" s="6" t="s">
        <v>63</v>
      </c>
    </row>
    <row r="27" spans="1:7" x14ac:dyDescent="0.3">
      <c r="F27" s="5"/>
    </row>
    <row r="28" spans="1:7" x14ac:dyDescent="0.3">
      <c r="F28" s="6" t="s">
        <v>64</v>
      </c>
    </row>
    <row r="30" spans="1:7" x14ac:dyDescent="0.3">
      <c r="F30" t="s">
        <v>65</v>
      </c>
    </row>
    <row r="33" spans="2:2" ht="23.4" x14ac:dyDescent="0.3">
      <c r="B33" s="10" t="s">
        <v>67</v>
      </c>
    </row>
    <row r="35" spans="2:2" x14ac:dyDescent="0.3">
      <c r="B35" t="s">
        <v>71</v>
      </c>
    </row>
    <row r="36" spans="2:2" x14ac:dyDescent="0.3">
      <c r="B36" s="7" t="s">
        <v>66</v>
      </c>
    </row>
    <row r="37" spans="2:2" x14ac:dyDescent="0.3">
      <c r="B37" s="6" t="s">
        <v>68</v>
      </c>
    </row>
    <row r="38" spans="2:2" x14ac:dyDescent="0.3">
      <c r="B38" t="s">
        <v>69</v>
      </c>
    </row>
    <row r="39" spans="2:2" x14ac:dyDescent="0.3">
      <c r="B39" t="s">
        <v>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DE7A3-6AF9-4D19-8318-4CC4DC8AB001}">
  <dimension ref="A3:D25"/>
  <sheetViews>
    <sheetView workbookViewId="0">
      <selection activeCell="A4" sqref="A4:D24"/>
    </sheetView>
  </sheetViews>
  <sheetFormatPr defaultRowHeight="14.4" x14ac:dyDescent="0.3"/>
  <cols>
    <col min="1" max="1" width="12.5546875" bestFit="1" customWidth="1"/>
    <col min="2" max="2" width="32" bestFit="1" customWidth="1"/>
    <col min="3" max="3" width="28.44140625" bestFit="1" customWidth="1"/>
    <col min="4" max="4" width="27.88671875" bestFit="1" customWidth="1"/>
  </cols>
  <sheetData>
    <row r="3" spans="1:4" x14ac:dyDescent="0.3">
      <c r="A3" s="1" t="s">
        <v>4</v>
      </c>
      <c r="B3" t="s">
        <v>6</v>
      </c>
      <c r="C3" t="s">
        <v>7</v>
      </c>
      <c r="D3" t="s">
        <v>8</v>
      </c>
    </row>
    <row r="4" spans="1:4" x14ac:dyDescent="0.3">
      <c r="A4" s="2">
        <v>2010</v>
      </c>
      <c r="B4">
        <v>1125.27</v>
      </c>
      <c r="C4">
        <v>5625.93</v>
      </c>
      <c r="D4">
        <v>189.28</v>
      </c>
    </row>
    <row r="5" spans="1:4" x14ac:dyDescent="0.3">
      <c r="A5" s="2">
        <v>2011</v>
      </c>
      <c r="B5">
        <v>1147.3499999999999</v>
      </c>
      <c r="C5">
        <v>5138.58</v>
      </c>
      <c r="D5">
        <v>266.12</v>
      </c>
    </row>
    <row r="6" spans="1:4" x14ac:dyDescent="0.3">
      <c r="A6" s="2">
        <v>2012</v>
      </c>
      <c r="B6">
        <v>1174.1099999999999</v>
      </c>
      <c r="C6">
        <v>5377.75</v>
      </c>
      <c r="D6">
        <v>270.8</v>
      </c>
    </row>
    <row r="7" spans="1:4" x14ac:dyDescent="0.3">
      <c r="A7" s="2">
        <v>2013</v>
      </c>
      <c r="B7">
        <v>730.82</v>
      </c>
      <c r="C7">
        <v>5584.56</v>
      </c>
      <c r="D7">
        <v>213.27</v>
      </c>
    </row>
    <row r="8" spans="1:4" x14ac:dyDescent="0.3">
      <c r="A8" s="2">
        <v>2014</v>
      </c>
      <c r="B8">
        <v>670.03</v>
      </c>
      <c r="C8">
        <v>5583.6</v>
      </c>
      <c r="D8">
        <v>215.4</v>
      </c>
    </row>
    <row r="9" spans="1:4" x14ac:dyDescent="0.3">
      <c r="A9" s="2">
        <v>2015</v>
      </c>
      <c r="B9">
        <v>606.6</v>
      </c>
      <c r="C9">
        <v>6122.69</v>
      </c>
      <c r="D9">
        <v>217.74</v>
      </c>
    </row>
    <row r="10" spans="1:4" x14ac:dyDescent="0.3">
      <c r="A10" s="2">
        <v>2016</v>
      </c>
      <c r="B10">
        <v>538.32000000000005</v>
      </c>
      <c r="C10">
        <v>6515.77</v>
      </c>
      <c r="D10">
        <v>200.19</v>
      </c>
    </row>
    <row r="11" spans="1:4" x14ac:dyDescent="0.3">
      <c r="A11" s="2">
        <v>2017</v>
      </c>
      <c r="B11">
        <v>470.55</v>
      </c>
      <c r="C11">
        <v>6733.86</v>
      </c>
      <c r="D11">
        <v>203.8</v>
      </c>
    </row>
    <row r="12" spans="1:4" x14ac:dyDescent="0.3">
      <c r="A12" s="2">
        <v>2018</v>
      </c>
      <c r="B12">
        <v>441.46</v>
      </c>
      <c r="C12">
        <v>6170.43</v>
      </c>
      <c r="D12">
        <v>207.6</v>
      </c>
    </row>
    <row r="13" spans="1:4" x14ac:dyDescent="0.3">
      <c r="A13" s="2">
        <v>2019</v>
      </c>
      <c r="B13">
        <v>417.23</v>
      </c>
      <c r="C13">
        <v>6158.99</v>
      </c>
      <c r="D13">
        <v>208.4</v>
      </c>
    </row>
    <row r="14" spans="1:4" x14ac:dyDescent="0.3">
      <c r="A14" s="2">
        <v>2020</v>
      </c>
      <c r="B14">
        <v>401.65</v>
      </c>
      <c r="C14">
        <v>6081.78</v>
      </c>
      <c r="D14">
        <v>208.36</v>
      </c>
    </row>
    <row r="15" spans="1:4" x14ac:dyDescent="0.3">
      <c r="A15" s="2">
        <v>2021</v>
      </c>
      <c r="B15">
        <v>371.27</v>
      </c>
      <c r="C15">
        <v>6205.7</v>
      </c>
      <c r="D15">
        <v>209.18</v>
      </c>
    </row>
    <row r="16" spans="1:4" x14ac:dyDescent="0.3">
      <c r="A16" s="2">
        <v>2022</v>
      </c>
      <c r="B16">
        <v>350.48</v>
      </c>
      <c r="C16">
        <v>6283.55</v>
      </c>
      <c r="D16">
        <v>207.97</v>
      </c>
    </row>
    <row r="17" spans="1:4" x14ac:dyDescent="0.3">
      <c r="A17" s="2">
        <v>2023</v>
      </c>
      <c r="B17">
        <v>338.89</v>
      </c>
      <c r="C17">
        <v>6960.75</v>
      </c>
      <c r="D17">
        <v>205.68</v>
      </c>
    </row>
    <row r="18" spans="1:4" x14ac:dyDescent="0.3">
      <c r="A18" s="2">
        <v>2024</v>
      </c>
      <c r="B18">
        <v>127.23098901100457</v>
      </c>
      <c r="C18">
        <v>6766.0673626373755</v>
      </c>
      <c r="D18">
        <v>198.22879120879134</v>
      </c>
    </row>
    <row r="19" spans="1:4" x14ac:dyDescent="0.3">
      <c r="A19" s="2">
        <v>2025</v>
      </c>
      <c r="B19">
        <v>60.537692307698308</v>
      </c>
      <c r="C19">
        <v>6863.0292967033165</v>
      </c>
      <c r="D19">
        <v>195.86129670329683</v>
      </c>
    </row>
    <row r="20" spans="1:4" x14ac:dyDescent="0.3">
      <c r="A20" s="2">
        <v>2026</v>
      </c>
      <c r="B20">
        <v>-6.1556043955788482</v>
      </c>
      <c r="C20">
        <v>6959.9912307692284</v>
      </c>
      <c r="D20">
        <v>193.49380219780232</v>
      </c>
    </row>
    <row r="21" spans="1:4" x14ac:dyDescent="0.3">
      <c r="A21" s="2">
        <v>2027</v>
      </c>
      <c r="B21">
        <v>-72.848901098885108</v>
      </c>
      <c r="C21">
        <v>7056.9531648351694</v>
      </c>
      <c r="D21">
        <v>191.12630769230782</v>
      </c>
    </row>
    <row r="22" spans="1:4" x14ac:dyDescent="0.3">
      <c r="A22" s="2">
        <v>2028</v>
      </c>
      <c r="B22">
        <v>-139.54219780219137</v>
      </c>
      <c r="C22">
        <v>7153.9150989011105</v>
      </c>
      <c r="D22">
        <v>188.75881318681331</v>
      </c>
    </row>
    <row r="23" spans="1:4" x14ac:dyDescent="0.3">
      <c r="A23" s="2">
        <v>2029</v>
      </c>
      <c r="B23">
        <v>-206.23549450546852</v>
      </c>
      <c r="C23">
        <v>7250.8770329670515</v>
      </c>
      <c r="D23">
        <v>186.39131868131881</v>
      </c>
    </row>
    <row r="24" spans="1:4" x14ac:dyDescent="0.3">
      <c r="A24" s="2">
        <v>2030</v>
      </c>
      <c r="B24">
        <v>-272.92879120877478</v>
      </c>
      <c r="C24">
        <v>7347.8389670329634</v>
      </c>
      <c r="D24">
        <v>184.0238241758243</v>
      </c>
    </row>
    <row r="25" spans="1:4" x14ac:dyDescent="0.3">
      <c r="A25" s="2" t="s">
        <v>5</v>
      </c>
      <c r="B25">
        <v>8274.0876923078031</v>
      </c>
      <c r="C25">
        <v>133942.61215384622</v>
      </c>
      <c r="D25">
        <v>4361.6741538461547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E7095-1DD0-40B2-B5E9-9369EE5FD52C}">
  <dimension ref="A1:T27"/>
  <sheetViews>
    <sheetView tabSelected="1" topLeftCell="H1" zoomScale="93" workbookViewId="0">
      <selection activeCell="J16" sqref="J16"/>
    </sheetView>
  </sheetViews>
  <sheetFormatPr defaultRowHeight="14.4" x14ac:dyDescent="0.3"/>
  <sheetData>
    <row r="1" spans="1:20" x14ac:dyDescent="0.3">
      <c r="A1" t="s">
        <v>0</v>
      </c>
      <c r="B1" t="s">
        <v>1</v>
      </c>
      <c r="C1" t="s">
        <v>2</v>
      </c>
      <c r="D1" t="s">
        <v>3</v>
      </c>
      <c r="H1" t="s">
        <v>40</v>
      </c>
    </row>
    <row r="2" spans="1:20" x14ac:dyDescent="0.3">
      <c r="A2">
        <v>2010</v>
      </c>
      <c r="B2">
        <v>1125.27</v>
      </c>
      <c r="C2">
        <v>5625.93</v>
      </c>
      <c r="D2">
        <v>189.28</v>
      </c>
      <c r="H2" t="s">
        <v>41</v>
      </c>
    </row>
    <row r="3" spans="1:20" x14ac:dyDescent="0.3">
      <c r="A3">
        <v>2011</v>
      </c>
      <c r="B3">
        <v>1147.3499999999999</v>
      </c>
      <c r="C3">
        <v>5138.58</v>
      </c>
      <c r="D3">
        <v>266.12</v>
      </c>
      <c r="I3" t="s">
        <v>42</v>
      </c>
      <c r="R3" t="s">
        <v>45</v>
      </c>
    </row>
    <row r="4" spans="1:20" x14ac:dyDescent="0.3">
      <c r="A4">
        <v>2012</v>
      </c>
      <c r="B4">
        <v>1174.1099999999999</v>
      </c>
      <c r="C4">
        <v>5377.75</v>
      </c>
      <c r="D4">
        <v>270.8</v>
      </c>
      <c r="H4" t="s">
        <v>43</v>
      </c>
    </row>
    <row r="5" spans="1:20" x14ac:dyDescent="0.3">
      <c r="A5">
        <v>2013</v>
      </c>
      <c r="B5">
        <v>730.82</v>
      </c>
      <c r="C5">
        <v>5584.56</v>
      </c>
      <c r="D5">
        <v>213.27</v>
      </c>
    </row>
    <row r="6" spans="1:20" x14ac:dyDescent="0.3">
      <c r="A6">
        <v>2014</v>
      </c>
      <c r="B6">
        <v>670.03</v>
      </c>
      <c r="C6">
        <v>5583.6</v>
      </c>
      <c r="D6">
        <v>215.4</v>
      </c>
      <c r="H6" t="s">
        <v>44</v>
      </c>
      <c r="O6" s="6" t="s">
        <v>46</v>
      </c>
    </row>
    <row r="7" spans="1:20" x14ac:dyDescent="0.3">
      <c r="A7">
        <v>2015</v>
      </c>
      <c r="B7">
        <v>606.6</v>
      </c>
      <c r="C7">
        <v>6122.69</v>
      </c>
      <c r="D7">
        <v>217.74</v>
      </c>
    </row>
    <row r="8" spans="1:20" x14ac:dyDescent="0.3">
      <c r="A8">
        <v>2016</v>
      </c>
      <c r="B8">
        <v>538.32000000000005</v>
      </c>
      <c r="C8">
        <v>6515.77</v>
      </c>
      <c r="D8">
        <v>200.19</v>
      </c>
    </row>
    <row r="9" spans="1:20" x14ac:dyDescent="0.3">
      <c r="A9">
        <v>2017</v>
      </c>
      <c r="B9">
        <v>470.55</v>
      </c>
      <c r="C9">
        <v>6733.86</v>
      </c>
      <c r="D9">
        <v>203.8</v>
      </c>
    </row>
    <row r="10" spans="1:20" ht="23.4" x14ac:dyDescent="0.3">
      <c r="A10">
        <v>2018</v>
      </c>
      <c r="B10">
        <v>441.46</v>
      </c>
      <c r="C10">
        <v>6170.43</v>
      </c>
      <c r="D10">
        <v>207.6</v>
      </c>
      <c r="F10" s="7"/>
      <c r="G10" s="7"/>
      <c r="H10" s="7"/>
      <c r="O10" s="10"/>
    </row>
    <row r="11" spans="1:20" x14ac:dyDescent="0.3">
      <c r="A11">
        <v>2019</v>
      </c>
      <c r="B11">
        <v>417.23</v>
      </c>
      <c r="C11">
        <v>6158.99</v>
      </c>
      <c r="D11">
        <v>208.4</v>
      </c>
      <c r="F11" s="9" t="s">
        <v>21</v>
      </c>
      <c r="G11" s="9"/>
      <c r="H11" s="9"/>
      <c r="L11" s="11" t="s">
        <v>22</v>
      </c>
      <c r="M11" s="12"/>
      <c r="N11" s="12"/>
      <c r="O11" s="12"/>
      <c r="P11" s="12"/>
      <c r="Q11" s="12"/>
      <c r="R11" s="12"/>
      <c r="S11" s="12"/>
    </row>
    <row r="12" spans="1:20" x14ac:dyDescent="0.3">
      <c r="A12">
        <v>2020</v>
      </c>
      <c r="B12">
        <v>401.65</v>
      </c>
      <c r="C12">
        <v>6081.78</v>
      </c>
      <c r="D12">
        <v>208.36</v>
      </c>
      <c r="G12" s="7" t="s">
        <v>18</v>
      </c>
      <c r="H12" s="7"/>
    </row>
    <row r="13" spans="1:20" ht="18" x14ac:dyDescent="0.3">
      <c r="A13">
        <v>2021</v>
      </c>
      <c r="B13">
        <v>371.27</v>
      </c>
      <c r="C13">
        <v>6205.7</v>
      </c>
      <c r="D13">
        <v>209.18</v>
      </c>
      <c r="H13">
        <v>9.1166264113909286</v>
      </c>
      <c r="I13" t="s">
        <v>20</v>
      </c>
      <c r="L13" s="4" t="s">
        <v>26</v>
      </c>
      <c r="Q13" s="4" t="s">
        <v>27</v>
      </c>
      <c r="T13" s="4" t="s">
        <v>30</v>
      </c>
    </row>
    <row r="14" spans="1:20" x14ac:dyDescent="0.3">
      <c r="A14">
        <v>2022</v>
      </c>
      <c r="B14">
        <v>350.48</v>
      </c>
      <c r="C14">
        <v>6283.55</v>
      </c>
      <c r="D14">
        <v>207.97</v>
      </c>
      <c r="H14">
        <v>87.745091527129347</v>
      </c>
      <c r="I14" t="s">
        <v>12</v>
      </c>
      <c r="L14" s="5"/>
      <c r="O14">
        <f>((B2-B15)/B2)*100</f>
        <v>69.883672363077309</v>
      </c>
      <c r="Q14" s="5"/>
      <c r="T14" s="5"/>
    </row>
    <row r="15" spans="1:20" x14ac:dyDescent="0.3">
      <c r="A15">
        <v>2023</v>
      </c>
      <c r="B15">
        <v>338.89</v>
      </c>
      <c r="C15">
        <v>6960.75</v>
      </c>
      <c r="D15">
        <v>205.68</v>
      </c>
      <c r="H15">
        <v>3.1382820614797273</v>
      </c>
      <c r="I15" t="s">
        <v>13</v>
      </c>
      <c r="L15" s="5" t="s">
        <v>23</v>
      </c>
      <c r="Q15" s="5" t="s">
        <v>28</v>
      </c>
      <c r="T15" s="5" t="s">
        <v>31</v>
      </c>
    </row>
    <row r="16" spans="1:20" x14ac:dyDescent="0.3">
      <c r="B16">
        <f>SUM(B2:B15)</f>
        <v>8784.0299999999988</v>
      </c>
      <c r="C16">
        <f>SUM(C2:C15)</f>
        <v>84543.94</v>
      </c>
      <c r="D16">
        <f>SUM(D2:D15)</f>
        <v>3023.7899999999995</v>
      </c>
      <c r="F16">
        <f>SUM(B16:D16)</f>
        <v>96351.76</v>
      </c>
      <c r="L16" s="5"/>
      <c r="Q16" s="5"/>
      <c r="T16" s="5"/>
    </row>
    <row r="17" spans="1:20" x14ac:dyDescent="0.3">
      <c r="A17" s="8" t="s">
        <v>19</v>
      </c>
      <c r="B17" s="8"/>
      <c r="C17" s="8"/>
      <c r="D17" s="8"/>
      <c r="L17" s="5" t="s">
        <v>24</v>
      </c>
      <c r="Q17" s="5" t="s">
        <v>29</v>
      </c>
      <c r="T17" s="5" t="s">
        <v>32</v>
      </c>
    </row>
    <row r="18" spans="1:20" x14ac:dyDescent="0.3">
      <c r="A18" t="s">
        <v>10</v>
      </c>
      <c r="B18" t="s">
        <v>9</v>
      </c>
      <c r="L18" s="5"/>
      <c r="Q18" s="5"/>
    </row>
    <row r="19" spans="1:20" ht="18" x14ac:dyDescent="0.3">
      <c r="A19">
        <v>8784.0299999999988</v>
      </c>
      <c r="B19" t="s">
        <v>11</v>
      </c>
      <c r="E19" t="s">
        <v>37</v>
      </c>
      <c r="F19" s="4" t="s">
        <v>14</v>
      </c>
      <c r="L19" s="5" t="s">
        <v>25</v>
      </c>
      <c r="Q19" s="5" t="s">
        <v>33</v>
      </c>
    </row>
    <row r="20" spans="1:20" x14ac:dyDescent="0.3">
      <c r="A20" s="3">
        <v>84543.94</v>
      </c>
      <c r="B20" s="3" t="s">
        <v>12</v>
      </c>
      <c r="F20" s="5"/>
    </row>
    <row r="21" spans="1:20" ht="18" x14ac:dyDescent="0.35">
      <c r="A21">
        <v>3023.7899999999995</v>
      </c>
      <c r="B21" t="s">
        <v>13</v>
      </c>
      <c r="F21" s="6" t="s">
        <v>15</v>
      </c>
      <c r="K21" t="s">
        <v>38</v>
      </c>
      <c r="L21" s="13" t="s">
        <v>35</v>
      </c>
      <c r="M21" s="14"/>
      <c r="N21" s="14"/>
      <c r="O21" s="14"/>
      <c r="P21" s="14"/>
    </row>
    <row r="22" spans="1:20" x14ac:dyDescent="0.3">
      <c r="C22" s="7"/>
      <c r="D22" s="7"/>
      <c r="F22" s="5"/>
      <c r="L22" s="5"/>
    </row>
    <row r="23" spans="1:20" x14ac:dyDescent="0.3">
      <c r="F23" s="5" t="s">
        <v>16</v>
      </c>
      <c r="L23" s="6" t="s">
        <v>34</v>
      </c>
    </row>
    <row r="24" spans="1:20" x14ac:dyDescent="0.3">
      <c r="F24" s="5"/>
    </row>
    <row r="25" spans="1:20" x14ac:dyDescent="0.3">
      <c r="F25" s="5" t="s">
        <v>17</v>
      </c>
      <c r="L25" t="s">
        <v>36</v>
      </c>
    </row>
    <row r="27" spans="1:20" x14ac:dyDescent="0.3">
      <c r="L27" s="5" t="s">
        <v>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65011-CD5A-4505-9563-DB521C6FCCC3}">
  <dimension ref="A1:G17"/>
  <sheetViews>
    <sheetView workbookViewId="0">
      <selection activeCell="K15" sqref="K15"/>
    </sheetView>
  </sheetViews>
  <sheetFormatPr defaultRowHeight="14.4" x14ac:dyDescent="0.3"/>
  <sheetData>
    <row r="1" spans="1:7" x14ac:dyDescent="0.3">
      <c r="A1">
        <v>2010</v>
      </c>
      <c r="B1">
        <v>1125.27</v>
      </c>
      <c r="C1" t="s">
        <v>73</v>
      </c>
    </row>
    <row r="2" spans="1:7" x14ac:dyDescent="0.3">
      <c r="A2">
        <v>2011</v>
      </c>
      <c r="B2">
        <v>1147.3499999999999</v>
      </c>
      <c r="C2">
        <f>B2-B1</f>
        <v>22.079999999999927</v>
      </c>
    </row>
    <row r="3" spans="1:7" x14ac:dyDescent="0.3">
      <c r="A3">
        <v>2012</v>
      </c>
      <c r="B3">
        <v>1174.1099999999999</v>
      </c>
      <c r="C3">
        <f t="shared" ref="C3:C14" si="0">B3-B2</f>
        <v>26.759999999999991</v>
      </c>
    </row>
    <row r="4" spans="1:7" x14ac:dyDescent="0.3">
      <c r="A4">
        <v>2013</v>
      </c>
      <c r="B4">
        <v>730.82</v>
      </c>
      <c r="C4">
        <f t="shared" si="0"/>
        <v>-443.28999999999985</v>
      </c>
    </row>
    <row r="5" spans="1:7" x14ac:dyDescent="0.3">
      <c r="A5">
        <v>2014</v>
      </c>
      <c r="B5">
        <v>670.03</v>
      </c>
      <c r="C5">
        <f t="shared" si="0"/>
        <v>-60.790000000000077</v>
      </c>
    </row>
    <row r="6" spans="1:7" x14ac:dyDescent="0.3">
      <c r="A6">
        <v>2015</v>
      </c>
      <c r="B6">
        <v>606.6</v>
      </c>
      <c r="C6">
        <f t="shared" si="0"/>
        <v>-63.42999999999995</v>
      </c>
    </row>
    <row r="7" spans="1:7" x14ac:dyDescent="0.3">
      <c r="A7">
        <v>2016</v>
      </c>
      <c r="B7">
        <v>538.32000000000005</v>
      </c>
      <c r="C7">
        <f t="shared" si="0"/>
        <v>-68.279999999999973</v>
      </c>
    </row>
    <row r="8" spans="1:7" x14ac:dyDescent="0.3">
      <c r="A8">
        <v>2017</v>
      </c>
      <c r="B8">
        <v>470.55</v>
      </c>
      <c r="C8">
        <f t="shared" si="0"/>
        <v>-67.770000000000039</v>
      </c>
    </row>
    <row r="9" spans="1:7" x14ac:dyDescent="0.3">
      <c r="A9">
        <v>2018</v>
      </c>
      <c r="B9">
        <v>441.46</v>
      </c>
      <c r="C9">
        <f t="shared" si="0"/>
        <v>-29.090000000000032</v>
      </c>
    </row>
    <row r="10" spans="1:7" x14ac:dyDescent="0.3">
      <c r="A10">
        <v>2019</v>
      </c>
      <c r="B10">
        <v>417.23</v>
      </c>
      <c r="C10">
        <f t="shared" si="0"/>
        <v>-24.229999999999961</v>
      </c>
      <c r="E10" t="s">
        <v>74</v>
      </c>
    </row>
    <row r="11" spans="1:7" x14ac:dyDescent="0.3">
      <c r="A11">
        <v>2020</v>
      </c>
      <c r="B11">
        <v>401.65</v>
      </c>
      <c r="C11">
        <f t="shared" si="0"/>
        <v>-15.580000000000041</v>
      </c>
      <c r="E11">
        <f>AVERAGE(C2:C14)</f>
        <v>-60.490769230769232</v>
      </c>
    </row>
    <row r="12" spans="1:7" x14ac:dyDescent="0.3">
      <c r="A12">
        <v>2021</v>
      </c>
      <c r="B12">
        <v>371.27</v>
      </c>
      <c r="C12">
        <f t="shared" si="0"/>
        <v>-30.379999999999995</v>
      </c>
    </row>
    <row r="13" spans="1:7" x14ac:dyDescent="0.3">
      <c r="A13">
        <v>2022</v>
      </c>
      <c r="B13">
        <v>350.48</v>
      </c>
      <c r="C13">
        <f t="shared" si="0"/>
        <v>-20.789999999999964</v>
      </c>
    </row>
    <row r="14" spans="1:7" x14ac:dyDescent="0.3">
      <c r="A14">
        <v>2023</v>
      </c>
      <c r="B14">
        <v>338.89</v>
      </c>
      <c r="C14">
        <f t="shared" si="0"/>
        <v>-11.590000000000032</v>
      </c>
    </row>
    <row r="15" spans="1:7" x14ac:dyDescent="0.3">
      <c r="A15" s="7">
        <v>2024</v>
      </c>
      <c r="B15">
        <f>B14+E11</f>
        <v>278.39923076923077</v>
      </c>
    </row>
    <row r="16" spans="1:7" x14ac:dyDescent="0.3">
      <c r="A16" s="7">
        <v>2025</v>
      </c>
      <c r="B16">
        <f>B15+E11</f>
        <v>217.90846153846155</v>
      </c>
      <c r="G16">
        <f>AVERAGEA(B10:B14)</f>
        <v>375.904</v>
      </c>
    </row>
    <row r="17" spans="1:2" x14ac:dyDescent="0.3">
      <c r="A17" s="7">
        <v>2026</v>
      </c>
      <c r="B17">
        <f>B16+E11</f>
        <v>157.41769230769233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5AFD8-3B83-4630-A3B2-A8560899B496}">
  <dimension ref="A3:D18"/>
  <sheetViews>
    <sheetView workbookViewId="0">
      <selection activeCell="D21" sqref="D21"/>
    </sheetView>
  </sheetViews>
  <sheetFormatPr defaultRowHeight="14.4" x14ac:dyDescent="0.3"/>
  <cols>
    <col min="1" max="1" width="12.5546875" bestFit="1" customWidth="1"/>
    <col min="2" max="2" width="32" bestFit="1" customWidth="1"/>
    <col min="3" max="3" width="28.44140625" bestFit="1" customWidth="1"/>
    <col min="4" max="4" width="27.88671875" bestFit="1" customWidth="1"/>
  </cols>
  <sheetData>
    <row r="3" spans="1:4" x14ac:dyDescent="0.3">
      <c r="A3" s="1" t="s">
        <v>4</v>
      </c>
      <c r="B3" t="s">
        <v>6</v>
      </c>
      <c r="C3" t="s">
        <v>7</v>
      </c>
      <c r="D3" t="s">
        <v>8</v>
      </c>
    </row>
    <row r="4" spans="1:4" x14ac:dyDescent="0.3">
      <c r="A4" s="2">
        <v>2010</v>
      </c>
      <c r="B4">
        <v>1125.27</v>
      </c>
      <c r="C4">
        <v>5625.93</v>
      </c>
      <c r="D4">
        <v>189.28</v>
      </c>
    </row>
    <row r="5" spans="1:4" x14ac:dyDescent="0.3">
      <c r="A5" s="2">
        <v>2011</v>
      </c>
      <c r="B5">
        <v>1147.3499999999999</v>
      </c>
      <c r="C5">
        <v>5138.58</v>
      </c>
      <c r="D5">
        <v>266.12</v>
      </c>
    </row>
    <row r="6" spans="1:4" x14ac:dyDescent="0.3">
      <c r="A6" s="2">
        <v>2012</v>
      </c>
      <c r="B6">
        <v>1174.1099999999999</v>
      </c>
      <c r="C6">
        <v>5377.75</v>
      </c>
      <c r="D6">
        <v>270.8</v>
      </c>
    </row>
    <row r="7" spans="1:4" x14ac:dyDescent="0.3">
      <c r="A7" s="2">
        <v>2013</v>
      </c>
      <c r="B7">
        <v>730.82</v>
      </c>
      <c r="C7">
        <v>5584.56</v>
      </c>
      <c r="D7">
        <v>213.27</v>
      </c>
    </row>
    <row r="8" spans="1:4" x14ac:dyDescent="0.3">
      <c r="A8" s="2">
        <v>2014</v>
      </c>
      <c r="B8">
        <v>670.03</v>
      </c>
      <c r="C8">
        <v>5583.6</v>
      </c>
      <c r="D8">
        <v>215.4</v>
      </c>
    </row>
    <row r="9" spans="1:4" x14ac:dyDescent="0.3">
      <c r="A9" s="2">
        <v>2015</v>
      </c>
      <c r="B9">
        <v>606.6</v>
      </c>
      <c r="C9">
        <v>6122.69</v>
      </c>
      <c r="D9">
        <v>217.74</v>
      </c>
    </row>
    <row r="10" spans="1:4" x14ac:dyDescent="0.3">
      <c r="A10" s="2">
        <v>2016</v>
      </c>
      <c r="B10">
        <v>538.32000000000005</v>
      </c>
      <c r="C10">
        <v>6515.77</v>
      </c>
      <c r="D10">
        <v>200.19</v>
      </c>
    </row>
    <row r="11" spans="1:4" x14ac:dyDescent="0.3">
      <c r="A11" s="2">
        <v>2017</v>
      </c>
      <c r="B11">
        <v>470.55</v>
      </c>
      <c r="C11">
        <v>6733.86</v>
      </c>
      <c r="D11">
        <v>203.8</v>
      </c>
    </row>
    <row r="12" spans="1:4" x14ac:dyDescent="0.3">
      <c r="A12" s="2">
        <v>2018</v>
      </c>
      <c r="B12">
        <v>441.46</v>
      </c>
      <c r="C12">
        <v>6170.43</v>
      </c>
      <c r="D12">
        <v>207.6</v>
      </c>
    </row>
    <row r="13" spans="1:4" x14ac:dyDescent="0.3">
      <c r="A13" s="2">
        <v>2019</v>
      </c>
      <c r="B13">
        <v>417.23</v>
      </c>
      <c r="C13">
        <v>6158.99</v>
      </c>
      <c r="D13">
        <v>208.4</v>
      </c>
    </row>
    <row r="14" spans="1:4" x14ac:dyDescent="0.3">
      <c r="A14" s="2">
        <v>2020</v>
      </c>
      <c r="B14">
        <v>401.65</v>
      </c>
      <c r="C14">
        <v>6081.78</v>
      </c>
      <c r="D14">
        <v>208.36</v>
      </c>
    </row>
    <row r="15" spans="1:4" x14ac:dyDescent="0.3">
      <c r="A15" s="2">
        <v>2021</v>
      </c>
      <c r="B15">
        <v>371.27</v>
      </c>
      <c r="C15">
        <v>6205.7</v>
      </c>
      <c r="D15">
        <v>209.18</v>
      </c>
    </row>
    <row r="16" spans="1:4" x14ac:dyDescent="0.3">
      <c r="A16" s="2">
        <v>2022</v>
      </c>
      <c r="B16">
        <v>350.48</v>
      </c>
      <c r="C16">
        <v>6283.55</v>
      </c>
      <c r="D16">
        <v>207.97</v>
      </c>
    </row>
    <row r="17" spans="1:4" x14ac:dyDescent="0.3">
      <c r="A17" s="2">
        <v>2023</v>
      </c>
      <c r="B17">
        <v>338.89</v>
      </c>
      <c r="C17">
        <v>6960.75</v>
      </c>
      <c r="D17">
        <v>205.68</v>
      </c>
    </row>
    <row r="18" spans="1:4" x14ac:dyDescent="0.3">
      <c r="A18" s="2" t="s">
        <v>5</v>
      </c>
      <c r="B18">
        <v>8784.0299999999988</v>
      </c>
      <c r="C18">
        <v>84543.94</v>
      </c>
      <c r="D18">
        <v>3023.7899999999995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temperature graph</vt:lpstr>
      <vt:lpstr>temperature</vt:lpstr>
      <vt:lpstr>Sheet4</vt:lpstr>
      <vt:lpstr>sectorcontributing</vt:lpstr>
      <vt:lpstr>forecasting</vt:lpstr>
      <vt:lpstr>graph from2210-2023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Priyanshu Garg</cp:lastModifiedBy>
  <dcterms:modified xsi:type="dcterms:W3CDTF">2026-01-23T06:32:30Z</dcterms:modified>
</cp:coreProperties>
</file>